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nchmark Index" sheetId="2" state="visible" r:id="rId2"/>
    <sheet xmlns:r="http://schemas.openxmlformats.org/officeDocument/2006/relationships" name="New Additions" sheetId="3" state="visible" r:id="rId3"/>
    <sheet xmlns:r="http://schemas.openxmlformats.org/officeDocument/2006/relationships" name="Taxonomy" sheetId="4" state="visible" r:id="rId4"/>
  </sheets>
  <definedNames>
    <definedName name="_xlnm._FilterDatabase" localSheetId="1" hidden="1">'Benchmark Index'!$A$1:$X$134</definedName>
    <definedName name="_xlnm._FilterDatabase" localSheetId="2" hidden="1">'New Additions'!$A$1:$X$44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000000"/>
      <sz val="10"/>
    </font>
    <font>
      <color rgb="00008000"/>
      <sz val="10"/>
    </font>
    <font>
      <name val="Calibri"/>
      <family val="2"/>
      <color theme="10"/>
      <sz val="12"/>
      <scheme val="minor"/>
    </font>
    <font>
      <b val="1"/>
      <color rgb="00FFFFFF"/>
      <sz val="18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pivotButton="0" quotePrefix="0" xfId="0"/>
    <xf numFmtId="0" fontId="5" fillId="2" borderId="0" applyAlignment="1" pivotButton="0" quotePrefix="0" xfId="0">
      <alignment horizontal="left"/>
    </xf>
    <xf numFmtId="0" fontId="1" fillId="2" borderId="0" pivotButton="0" quotePrefix="0" xfId="0"/>
    <xf numFmtId="0" fontId="6" fillId="6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1"/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BenchmarkIndexTable" displayName="BenchmarkIndexTable" ref="A1:X134" headerRowCount="1">
  <autoFilter ref="A1:X134"/>
  <tableColumns count="24">
    <tableColumn id="1" name="Record_ID"/>
    <tableColumn id="2" name="Original_Zotero_Key"/>
    <tableColumn id="3" name="Title"/>
    <tableColumn id="4" name="Year"/>
    <tableColumn id="5" name="Resource_Type"/>
    <tableColumn id="6" name="Scope_Tier"/>
    <tableColumn id="7" name="Primary_Category"/>
    <tableColumn id="8" name="System_Class"/>
    <tableColumn id="9" name="Benchmark_Tasks"/>
    <tableColumn id="10" name="Models_Evaluated"/>
    <tableColumn id="11" name="Key_Metrics"/>
    <tableColumn id="12" name="Reference_Baseline"/>
    <tableColumn id="13" name="DOI"/>
    <tableColumn id="14" name="URL"/>
    <tableColumn id="15" name="Code_URL"/>
    <tableColumn id="16" name="Data_URL"/>
    <tableColumn id="17" name="Peer_Reviewed"/>
    <tableColumn id="18" name="Open_Source"/>
    <tableColumn id="19" name="Source_Status"/>
    <tableColumn id="20" name="Curation_Confidence"/>
    <tableColumn id="21" name="Last_Verified"/>
    <tableColumn id="22" name="In_Current_CSV"/>
    <tableColumn id="23" name="README_Priority"/>
    <tableColumn id="2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ewAdditionsTable" displayName="NewAdditionsTable" ref="A1:X44" headerRowCount="1">
  <autoFilter ref="A1:X44"/>
  <tableColumns count="24">
    <tableColumn id="1" name="Record_ID"/>
    <tableColumn id="2" name="Original_Zotero_Key"/>
    <tableColumn id="3" name="Title"/>
    <tableColumn id="4" name="Year"/>
    <tableColumn id="5" name="Resource_Type"/>
    <tableColumn id="6" name="Scope_Tier"/>
    <tableColumn id="7" name="Primary_Category"/>
    <tableColumn id="8" name="System_Class"/>
    <tableColumn id="9" name="Benchmark_Tasks"/>
    <tableColumn id="10" name="Models_Evaluated"/>
    <tableColumn id="11" name="Key_Metrics"/>
    <tableColumn id="12" name="Reference_Baseline"/>
    <tableColumn id="13" name="DOI"/>
    <tableColumn id="14" name="URL"/>
    <tableColumn id="15" name="Code_URL"/>
    <tableColumn id="16" name="Data_URL"/>
    <tableColumn id="17" name="Peer_Reviewed"/>
    <tableColumn id="18" name="Open_Source"/>
    <tableColumn id="19" name="Source_Status"/>
    <tableColumn id="20" name="Curation_Confidence"/>
    <tableColumn id="21" name="Last_Verified"/>
    <tableColumn id="22" name="In_Current_CSV"/>
    <tableColumn id="23" name="README_Priority"/>
    <tableColumn id="2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21/acsmaterialslett.6c00134" TargetMode="External" Id="rId1"/><Relationship Type="http://schemas.openxmlformats.org/officeDocument/2006/relationships/hyperlink" Target="https://arxiv.org/abs/2602.22931v1" TargetMode="External" Id="rId2"/><Relationship Type="http://schemas.openxmlformats.org/officeDocument/2006/relationships/hyperlink" Target="https://doi.org/10.1021/acs.jctc.5c02006" TargetMode="External" Id="rId3"/><Relationship Type="http://schemas.openxmlformats.org/officeDocument/2006/relationships/hyperlink" Target="https://doi.org/10.1021/acs.chemmater.5c02352" TargetMode="External" Id="rId4"/><Relationship Type="http://schemas.openxmlformats.org/officeDocument/2006/relationships/hyperlink" Target="https://www.nature.com/articles/s41524-025-01929-3" TargetMode="External" Id="rId5"/><Relationship Type="http://schemas.openxmlformats.org/officeDocument/2006/relationships/hyperlink" Target="https://doi.org/10.1063/5.0339982" TargetMode="External" Id="rId6"/><Relationship Type="http://schemas.openxmlformats.org/officeDocument/2006/relationships/hyperlink" Target="https://github.com/entropy4energy/2026-mlip-dos-benchmark" TargetMode="External" Id="rId7"/><Relationship Type="http://schemas.openxmlformats.org/officeDocument/2006/relationships/hyperlink" Target="https://doi.org/10.1063/5.0339982" TargetMode="External" Id="rId8"/><Relationship Type="http://schemas.openxmlformats.org/officeDocument/2006/relationships/hyperlink" Target="https://arxiv.org/abs/2609.15299" TargetMode="External" Id="rId9"/><Relationship Type="http://schemas.openxmlformats.org/officeDocument/2006/relationships/hyperlink" Target="https://jobs.sluschi-mapp.org/meltbench" TargetMode="External" Id="rId10"/><Relationship Type="http://schemas.openxmlformats.org/officeDocument/2006/relationships/hyperlink" Target="https://www.nature.com/articles/s43588-026-01019-4" TargetMode="External" Id="rId11"/><Relationship Type="http://schemas.openxmlformats.org/officeDocument/2006/relationships/hyperlink" Target="https://arxiv.org/abs/2605.08988v1" TargetMode="External" Id="rId12"/><Relationship Type="http://schemas.openxmlformats.org/officeDocument/2006/relationships/hyperlink" Target="https://link.aps.org/doi/10.1103/1qc9-ypyb" TargetMode="External" Id="rId13"/><Relationship Type="http://schemas.openxmlformats.org/officeDocument/2006/relationships/hyperlink" Target="https://www.nature.com/articles/s41524-026-02251-2" TargetMode="External" Id="rId14"/><Relationship Type="http://schemas.openxmlformats.org/officeDocument/2006/relationships/hyperlink" Target="http://arxiv.org/abs/2607.03433" TargetMode="External" Id="rId15"/><Relationship Type="http://schemas.openxmlformats.org/officeDocument/2006/relationships/hyperlink" Target="https://doi.org/10.1038/s41524-026-01977-3" TargetMode="External" Id="rId16"/><Relationship Type="http://schemas.openxmlformats.org/officeDocument/2006/relationships/hyperlink" Target="https://www.sciencedirect.com/science/article/pii/S1387181126001320" TargetMode="External" Id="rId17"/><Relationship Type="http://schemas.openxmlformats.org/officeDocument/2006/relationships/hyperlink" Target="https://doi.org/10.1021/acs.jpcc.5c06812" TargetMode="External" Id="rId18"/><Relationship Type="http://schemas.openxmlformats.org/officeDocument/2006/relationships/hyperlink" Target="https://www.nature.com/articles/s41524-026-02315-3" TargetMode="External" Id="rId19"/><Relationship Type="http://schemas.openxmlformats.org/officeDocument/2006/relationships/hyperlink" Target="https://www.nature.com/articles/s42004-026-02057-9" TargetMode="External" Id="rId20"/><Relationship Type="http://schemas.openxmlformats.org/officeDocument/2006/relationships/hyperlink" Target="http://arxiv.org/abs/2607.07647" TargetMode="External" Id="rId21"/><Relationship Type="http://schemas.openxmlformats.org/officeDocument/2006/relationships/hyperlink" Target="http://arxiv.org/abs/2609.05714" TargetMode="External" Id="rId22"/><Relationship Type="http://schemas.openxmlformats.org/officeDocument/2006/relationships/hyperlink" Target="https://doi.org/10.1021/acs.jctc.6c00130" TargetMode="External" Id="rId23"/><Relationship Type="http://schemas.openxmlformats.org/officeDocument/2006/relationships/hyperlink" Target="https://doi.org/10.1021/prechem.5c00258" TargetMode="External" Id="rId24"/><Relationship Type="http://schemas.openxmlformats.org/officeDocument/2006/relationships/hyperlink" Target="https://doi.org/10.1021/acs.jpca.6c01748" TargetMode="External" Id="rId25"/><Relationship Type="http://schemas.openxmlformats.org/officeDocument/2006/relationships/hyperlink" Target="https://doi.org/10.1038/s41524-026-02286-5" TargetMode="External" Id="rId26"/><Relationship Type="http://schemas.openxmlformats.org/officeDocument/2006/relationships/hyperlink" Target="https://huggingface.co/datasets/JSteffen91/OMOL-1k-MD" TargetMode="External" Id="rId27"/><Relationship Type="http://schemas.openxmlformats.org/officeDocument/2006/relationships/hyperlink" Target="https://doi.org/10.1007/s44371-026-00865-5" TargetMode="External" Id="rId28"/><Relationship Type="http://schemas.openxmlformats.org/officeDocument/2006/relationships/hyperlink" Target="https://www.nature.com/articles/s41524-026-02043-8" TargetMode="External" Id="rId29"/><Relationship Type="http://schemas.openxmlformats.org/officeDocument/2006/relationships/hyperlink" Target="https://doi.org/10.1088/2632-2153/ae47b9" TargetMode="External" Id="rId30"/><Relationship Type="http://schemas.openxmlformats.org/officeDocument/2006/relationships/hyperlink" Target="https://doi.org/10.1063/5.0317672" TargetMode="External" Id="rId31"/><Relationship Type="http://schemas.openxmlformats.org/officeDocument/2006/relationships/hyperlink" Target="https://doi.org/10.1021/acsmaterialslett.5c00336" TargetMode="External" Id="rId32"/><Relationship Type="http://schemas.openxmlformats.org/officeDocument/2006/relationships/hyperlink" Target="https://www.nature.com/articles/s41524-025-01571-z" TargetMode="External" Id="rId33"/><Relationship Type="http://schemas.openxmlformats.org/officeDocument/2006/relationships/hyperlink" Target="http://arxiv.org/abs/2509.20630" TargetMode="External" Id="rId34"/><Relationship Type="http://schemas.openxmlformats.org/officeDocument/2006/relationships/hyperlink" Target="https://arxiv.org/abs/2511.20487" TargetMode="External" Id="rId35"/><Relationship Type="http://schemas.openxmlformats.org/officeDocument/2006/relationships/hyperlink" Target="https://github.com/instadeepai/mlipaudit" TargetMode="External" Id="rId36"/><Relationship Type="http://schemas.openxmlformats.org/officeDocument/2006/relationships/hyperlink" Target="https://huggingface.co/spaces/InstaDeepAI/mlipaudit-leaderboard" TargetMode="External" Id="rId37"/><Relationship Type="http://schemas.openxmlformats.org/officeDocument/2006/relationships/hyperlink" Target="https://doi.org/10.1021/acs.jcim.5c01262" TargetMode="External" Id="rId38"/><Relationship Type="http://schemas.openxmlformats.org/officeDocument/2006/relationships/hyperlink" Target="https://matcalc.ai/" TargetMode="External" Id="rId39"/><Relationship Type="http://schemas.openxmlformats.org/officeDocument/2006/relationships/hyperlink" Target="https://www.nature.com/articles/s42256-025-01055-1" TargetMode="External" Id="rId40"/><Relationship Type="http://schemas.openxmlformats.org/officeDocument/2006/relationships/hyperlink" Target="https://github.com/janosh/matbench-discovery" TargetMode="External" Id="rId41"/><Relationship Type="http://schemas.openxmlformats.org/officeDocument/2006/relationships/hyperlink" Target="https://matbench-discovery.materialsproject.org/" TargetMode="External" Id="rId42"/><Relationship Type="http://schemas.openxmlformats.org/officeDocument/2006/relationships/hyperlink" Target="https://arxiv.org/abs/2512.04562" TargetMode="External" Id="rId43"/><Relationship Type="http://schemas.openxmlformats.org/officeDocument/2006/relationships/hyperlink" Target="https://doi.org/10.1002/smll.202503956" TargetMode="External" Id="rId44"/><Relationship Type="http://schemas.openxmlformats.org/officeDocument/2006/relationships/hyperlink" Target="https://arxiv.org/abs/2508.15614" TargetMode="External" Id="rId45"/><Relationship Type="http://schemas.openxmlformats.org/officeDocument/2006/relationships/hyperlink" Target="https://doi.org/10.1088/2632-2153/adea2d" TargetMode="External" Id="rId46"/><Relationship Type="http://schemas.openxmlformats.org/officeDocument/2006/relationships/hyperlink" Target="https://doi.org/10.1088/2515-7639/ae2ba8" TargetMode="External" Id="rId47"/><Relationship Type="http://schemas.openxmlformats.org/officeDocument/2006/relationships/hyperlink" Target="https://doi.org/10.1039/D4SC06530A" TargetMode="External" Id="rId48"/><Relationship Type="http://schemas.openxmlformats.org/officeDocument/2006/relationships/hyperlink" Target="https://doi.org/10.5281/zenodo.10414029" TargetMode="External" Id="rId49"/><Relationship Type="http://schemas.openxmlformats.org/officeDocument/2006/relationships/hyperlink" Target="https://doi.org/10.1021/acs.jctc.5c00955" TargetMode="External" Id="rId50"/><Relationship Type="http://schemas.openxmlformats.org/officeDocument/2006/relationships/hyperlink" Target="https://pubs.acs.org/doi/10.1021/acsmaterialslett.5c00093" TargetMode="External" Id="rId51"/><Relationship Type="http://schemas.openxmlformats.org/officeDocument/2006/relationships/hyperlink" Target="http://arxiv.org/abs/2502.03660" TargetMode="External" Id="rId52"/><Relationship Type="http://schemas.openxmlformats.org/officeDocument/2006/relationships/hyperlink" Target="https://www.nature.com/articles/s41524-025-01872-3" TargetMode="External" Id="rId53"/><Relationship Type="http://schemas.openxmlformats.org/officeDocument/2006/relationships/hyperlink" Target="https://arxiv.org/abs/2510.22999" TargetMode="External" Id="rId54"/><Relationship Type="http://schemas.openxmlformats.org/officeDocument/2006/relationships/hyperlink" Target="https://www.nature.com/articles/s41524-024-01500-6" TargetMode="External" Id="rId55"/><Relationship Type="http://schemas.openxmlformats.org/officeDocument/2006/relationships/hyperlink" Target="https://doi.org/10.1021/acs.jctc.5c00690" TargetMode="External" Id="rId56"/><Relationship Type="http://schemas.openxmlformats.org/officeDocument/2006/relationships/hyperlink" Target="https://doi.org/10.4208/cicc.2025.90.02" TargetMode="External" Id="rId57"/><Relationship Type="http://schemas.openxmlformats.org/officeDocument/2006/relationships/hyperlink" Target="https://doi.org/10.1021/acs.jctc.5c00015" TargetMode="External" Id="rId58"/><Relationship Type="http://schemas.openxmlformats.org/officeDocument/2006/relationships/hyperlink" Target="http://arxiv.org/abs/2506.01860" TargetMode="External" Id="rId59"/><Relationship Type="http://schemas.openxmlformats.org/officeDocument/2006/relationships/hyperlink" Target="http://arxiv.org/abs/2512.21227" TargetMode="External" Id="rId60"/><Relationship Type="http://schemas.openxmlformats.org/officeDocument/2006/relationships/hyperlink" Target="http://arxiv.org/abs/2408.00755" TargetMode="External" Id="rId61"/><Relationship Type="http://schemas.openxmlformats.org/officeDocument/2006/relationships/hyperlink" Target="https://www.nature.com/articles/s41524-025-01650-1" TargetMode="External" Id="rId62"/><Relationship Type="http://schemas.openxmlformats.org/officeDocument/2006/relationships/hyperlink" Target="https://www.cell.com/cell-reports-physical-science/abstract/S2666-3864(25)00567-3" TargetMode="External" Id="rId63"/><Relationship Type="http://schemas.openxmlformats.org/officeDocument/2006/relationships/hyperlink" Target="https://doi.org/10.1021/acsami.4c03815" TargetMode="External" Id="rId64"/><Relationship Type="http://schemas.openxmlformats.org/officeDocument/2006/relationships/hyperlink" Target="https://doi.org/10.1088/3050-287X/ae1408" TargetMode="External" Id="rId65"/><Relationship Type="http://schemas.openxmlformats.org/officeDocument/2006/relationships/hyperlink" Target="https://doi.org/10.1038/s41524-025-01814-z" TargetMode="External" Id="rId66"/><Relationship Type="http://schemas.openxmlformats.org/officeDocument/2006/relationships/hyperlink" Target="https://www.nature.com/articles/s41524-024-01259-w" TargetMode="External" Id="rId67"/><Relationship Type="http://schemas.openxmlformats.org/officeDocument/2006/relationships/hyperlink" Target="https://openreview.net/forum?id=SBCMNc3Mq3" TargetMode="External" Id="rId68"/><Relationship Type="http://schemas.openxmlformats.org/officeDocument/2006/relationships/hyperlink" Target="https://doi.org/10.1016/j.actamat.2024.119788" TargetMode="External" Id="rId69"/><Relationship Type="http://schemas.openxmlformats.org/officeDocument/2006/relationships/hyperlink" Target="https://github.com/leiapple/Potential_benchmark_iron" TargetMode="External" Id="rId70"/><Relationship Type="http://schemas.openxmlformats.org/officeDocument/2006/relationships/hyperlink" Target="https://arxiv.org/abs/2409.13390v1" TargetMode="External" Id="rId71"/><Relationship Type="http://schemas.openxmlformats.org/officeDocument/2006/relationships/hyperlink" Target="https://doi.org/10.1038/s41524-024-01264-z" TargetMode="External" Id="rId72"/><Relationship Type="http://schemas.openxmlformats.org/officeDocument/2006/relationships/hyperlink" Target="https://openreview.net/forum?id=fNyXCCZ0g6" TargetMode="External" Id="rId73"/><Relationship Type="http://schemas.openxmlformats.org/officeDocument/2006/relationships/hyperlink" Target="https://www.nature.com/articles/s41524-024-01316-4" TargetMode="External" Id="rId74"/><Relationship Type="http://schemas.openxmlformats.org/officeDocument/2006/relationships/hyperlink" Target="https://onlinelibrary.wiley.com/doi/abs/10.1002/mgea.58" TargetMode="External" Id="rId75"/><Relationship Type="http://schemas.openxmlformats.org/officeDocument/2006/relationships/hyperlink" Target="https://arxiv.org/abs/2402.18891" TargetMode="External" Id="rId76"/><Relationship Type="http://schemas.openxmlformats.org/officeDocument/2006/relationships/hyperlink" Target="https://doi.org/10.1088/2632-2153/ad5f11" TargetMode="External" Id="rId77"/><Relationship Type="http://schemas.openxmlformats.org/officeDocument/2006/relationships/hyperlink" Target="http://arxiv.org/abs/2309.05934" TargetMode="External" Id="rId78"/><Relationship Type="http://schemas.openxmlformats.org/officeDocument/2006/relationships/hyperlink" Target="http://arxiv.org/abs/2203.04810" TargetMode="External" Id="rId79"/><Relationship Type="http://schemas.openxmlformats.org/officeDocument/2006/relationships/hyperlink" Target="http://arxiv.org/abs/2210.07237" TargetMode="External" Id="rId80"/><Relationship Type="http://schemas.openxmlformats.org/officeDocument/2006/relationships/hyperlink" Target="https://www.nature.com/articles/s41524-023-01123-3" TargetMode="External" Id="rId81"/><Relationship Type="http://schemas.openxmlformats.org/officeDocument/2006/relationships/hyperlink" Target="http://arxiv.org/abs/2307.05378" TargetMode="External" Id="rId82"/><Relationship Type="http://schemas.openxmlformats.org/officeDocument/2006/relationships/hyperlink" Target="https://www.nature.com/articles/s43588-023-00549-5" TargetMode="External" Id="rId83"/><Relationship Type="http://schemas.openxmlformats.org/officeDocument/2006/relationships/hyperlink" Target="https://www.nature.com/articles/s41524-020-00406-3" TargetMode="External" Id="rId84"/><Relationship Type="http://schemas.openxmlformats.org/officeDocument/2006/relationships/hyperlink" Target="https://doi.org/10.1021/acs.jpca.9b08723" TargetMode="External" Id="rId85"/><Relationship Type="http://schemas.openxmlformats.org/officeDocument/2006/relationships/hyperlink" Target="https://doi.org/10.1063/1.5023802" TargetMode="External" Id="rId86"/><Relationship Type="http://schemas.openxmlformats.org/officeDocument/2006/relationships/hyperlink" Target="https://github.com/isayev/COMP6" TargetMode="External" Id="rId87"/><Relationship Type="http://schemas.openxmlformats.org/officeDocument/2006/relationships/hyperlink" Target="https://advanced.onlinelibrary.wiley.com/doi/10.1002/aidi.70143" TargetMode="External" Id="rId88"/><Relationship Type="http://schemas.openxmlformats.org/officeDocument/2006/relationships/hyperlink" Target="https://openreview.net/forum?id=Yk4FcrVcU2" TargetMode="External" Id="rId89"/><Relationship Type="http://schemas.openxmlformats.org/officeDocument/2006/relationships/hyperlink" Target="https://doi.org/10.1088/2632-2153/ae94e1" TargetMode="External" Id="rId90"/><Relationship Type="http://schemas.openxmlformats.org/officeDocument/2006/relationships/hyperlink" Target="http://arxiv.org/abs/2607.11384" TargetMode="External" Id="rId91"/><Relationship Type="http://schemas.openxmlformats.org/officeDocument/2006/relationships/hyperlink" Target="https://doi.org/10.1038/s43588-026-00996-w" TargetMode="External" Id="rId92"/><Relationship Type="http://schemas.openxmlformats.org/officeDocument/2006/relationships/hyperlink" Target="https://github.com/FAIR-Chem/fairchem" TargetMode="External" Id="rId93"/><Relationship Type="http://schemas.openxmlformats.org/officeDocument/2006/relationships/hyperlink" Target="https://huggingface.co/datasets/facebook/OMAT24" TargetMode="External" Id="rId94"/><Relationship Type="http://schemas.openxmlformats.org/officeDocument/2006/relationships/hyperlink" Target="https://pubs.rsc.org/en/content/articlelanding/2026/dd/d5dd00557d" TargetMode="External" Id="rId95"/><Relationship Type="http://schemas.openxmlformats.org/officeDocument/2006/relationships/hyperlink" Target="http://arxiv.org/abs/2604.15821" TargetMode="External" Id="rId96"/><Relationship Type="http://schemas.openxmlformats.org/officeDocument/2006/relationships/hyperlink" Target="https://arxiv.org/abs/2604.01642v2" TargetMode="External" Id="rId97"/><Relationship Type="http://schemas.openxmlformats.org/officeDocument/2006/relationships/hyperlink" Target="https://doi.org/10.1080/21663831.2026.2684721" TargetMode="External" Id="rId98"/><Relationship Type="http://schemas.openxmlformats.org/officeDocument/2006/relationships/hyperlink" Target="http://arxiv.org/abs/2603.02002" TargetMode="External" Id="rId99"/><Relationship Type="http://schemas.openxmlformats.org/officeDocument/2006/relationships/hyperlink" Target="http://arxiv.org/abs/2606.23214" TargetMode="External" Id="rId100"/><Relationship Type="http://schemas.openxmlformats.org/officeDocument/2006/relationships/hyperlink" Target="https://doi.org/10.1016/j.jmgm.2026.109522" TargetMode="External" Id="rId101"/><Relationship Type="http://schemas.openxmlformats.org/officeDocument/2006/relationships/hyperlink" Target="https://www.nature.com/articles/s41467-026-74919-8" TargetMode="External" Id="rId102"/><Relationship Type="http://schemas.openxmlformats.org/officeDocument/2006/relationships/hyperlink" Target="https://www.nature.com/articles/s41467-026-72945-0" TargetMode="External" Id="rId103"/><Relationship Type="http://schemas.openxmlformats.org/officeDocument/2006/relationships/hyperlink" Target="http://arxiv.org/abs/2601.07742" TargetMode="External" Id="rId104"/><Relationship Type="http://schemas.openxmlformats.org/officeDocument/2006/relationships/hyperlink" Target="https://www.nature.com/articles/s41524-026-02051-8" TargetMode="External" Id="rId105"/><Relationship Type="http://schemas.openxmlformats.org/officeDocument/2006/relationships/hyperlink" Target="https://chemrxiv.org/doi/full/10.26434/chemrxiv.15006048/v1" TargetMode="External" Id="rId106"/><Relationship Type="http://schemas.openxmlformats.org/officeDocument/2006/relationships/hyperlink" Target="https://www.nature.com/articles/s41524-025-01742-y" TargetMode="External" Id="rId107"/><Relationship Type="http://schemas.openxmlformats.org/officeDocument/2006/relationships/hyperlink" Target="https://openreview.net/forum?id=gHGrzxFujU" TargetMode="External" Id="rId108"/><Relationship Type="http://schemas.openxmlformats.org/officeDocument/2006/relationships/hyperlink" Target="https://arxiv.org/abs/2503.04070" TargetMode="External" Id="rId109"/><Relationship Type="http://schemas.openxmlformats.org/officeDocument/2006/relationships/hyperlink" Target="https://matcalc.ai/" TargetMode="External" Id="rId110"/><Relationship Type="http://schemas.openxmlformats.org/officeDocument/2006/relationships/hyperlink" Target="https://huggingface.co/datasets/materialyze/matpes" TargetMode="External" Id="rId111"/><Relationship Type="http://schemas.openxmlformats.org/officeDocument/2006/relationships/hyperlink" Target="https://doi.org/10.1038/s41524-025-01834-9" TargetMode="External" Id="rId112"/><Relationship Type="http://schemas.openxmlformats.org/officeDocument/2006/relationships/hyperlink" Target="https://github.com/matthewkuner/MP-ALOE" TargetMode="External" Id="rId113"/><Relationship Type="http://schemas.openxmlformats.org/officeDocument/2006/relationships/hyperlink" Target="https://doi.org/10.6084/m9.figshare.29452190" TargetMode="External" Id="rId114"/><Relationship Type="http://schemas.openxmlformats.org/officeDocument/2006/relationships/hyperlink" Target="https://arxiv.org/abs/2509.17862" TargetMode="External" Id="rId115"/><Relationship Type="http://schemas.openxmlformats.org/officeDocument/2006/relationships/hyperlink" Target="https://github.com/FAIR-Chem/fairchem" TargetMode="External" Id="rId116"/><Relationship Type="http://schemas.openxmlformats.org/officeDocument/2006/relationships/hyperlink" Target="https://arxiv.org/abs/2505.08762" TargetMode="External" Id="rId117"/><Relationship Type="http://schemas.openxmlformats.org/officeDocument/2006/relationships/hyperlink" Target="https://github.com/FAIR-Chem/fairchem" TargetMode="External" Id="rId118"/><Relationship Type="http://schemas.openxmlformats.org/officeDocument/2006/relationships/hyperlink" Target="https://doi.org/10.1063/5.0297006" TargetMode="External" Id="rId119"/><Relationship Type="http://schemas.openxmlformats.org/officeDocument/2006/relationships/hyperlink" Target="https://github.com/ACEsuit/mace-mp" TargetMode="External" Id="rId120"/><Relationship Type="http://schemas.openxmlformats.org/officeDocument/2006/relationships/hyperlink" Target="https://github.com/ACEsuit/mace-mp" TargetMode="External" Id="rId121"/><Relationship Type="http://schemas.openxmlformats.org/officeDocument/2006/relationships/hyperlink" Target="https://www.sciencedirect.com/science/article/pii/S1359645425000400" TargetMode="External" Id="rId122"/><Relationship Type="http://schemas.openxmlformats.org/officeDocument/2006/relationships/hyperlink" Target="https://www.nature.com/articles/s43588-025-00930-6" TargetMode="External" Id="rId123"/><Relationship Type="http://schemas.openxmlformats.org/officeDocument/2006/relationships/hyperlink" Target="https://doi.org/10.1088/1361-651X/adf56d" TargetMode="External" Id="rId124"/><Relationship Type="http://schemas.openxmlformats.org/officeDocument/2006/relationships/hyperlink" Target="http://arxiv.org/abs/2509.07150" TargetMode="External" Id="rId125"/><Relationship Type="http://schemas.openxmlformats.org/officeDocument/2006/relationships/hyperlink" Target="https://openreview.net/forum?id=4Xh9oL5rH0" TargetMode="External" Id="rId126"/><Relationship Type="http://schemas.openxmlformats.org/officeDocument/2006/relationships/hyperlink" Target="https://doi.org/10.1038/s41467-025-59232-0" TargetMode="External" Id="rId127"/><Relationship Type="http://schemas.openxmlformats.org/officeDocument/2006/relationships/hyperlink" Target="https://github.com/dskoda/quests" TargetMode="External" Id="rId128"/><Relationship Type="http://schemas.openxmlformats.org/officeDocument/2006/relationships/hyperlink" Target="https://doi.org/10.1088/2632-2153/ae040b" TargetMode="External" Id="rId129"/><Relationship Type="http://schemas.openxmlformats.org/officeDocument/2006/relationships/hyperlink" Target="https://arxiv.org/abs/2501.09009" TargetMode="External" Id="rId130"/><Relationship Type="http://schemas.openxmlformats.org/officeDocument/2006/relationships/hyperlink" Target="https://github.com/ASK-Berkeley/MLFF-distill" TargetMode="External" Id="rId131"/><Relationship Type="http://schemas.openxmlformats.org/officeDocument/2006/relationships/hyperlink" Target="http://arxiv.org/abs/2503.08674" TargetMode="External" Id="rId132"/><Relationship Type="http://schemas.openxmlformats.org/officeDocument/2006/relationships/hyperlink" Target="https://www.nature.com/articles/s41524-025-01820-1" TargetMode="External" Id="rId133"/><Relationship Type="http://schemas.openxmlformats.org/officeDocument/2006/relationships/hyperlink" Target="http://arxiv.org/abs/2510.25380" TargetMode="External" Id="rId134"/><Relationship Type="http://schemas.openxmlformats.org/officeDocument/2006/relationships/hyperlink" Target="https://openreview.net/forum?id=b8qZpGJIkw" TargetMode="External" Id="rId135"/><Relationship Type="http://schemas.openxmlformats.org/officeDocument/2006/relationships/hyperlink" Target="https://colabfit.org/" TargetMode="External" Id="rId136"/><Relationship Type="http://schemas.openxmlformats.org/officeDocument/2006/relationships/hyperlink" Target="https://doi.org/10.1021/acs.jctc.4c00794" TargetMode="External" Id="rId137"/><Relationship Type="http://schemas.openxmlformats.org/officeDocument/2006/relationships/hyperlink" Target="https://github.com/openmm/spice-dataset" TargetMode="External" Id="rId138"/><Relationship Type="http://schemas.openxmlformats.org/officeDocument/2006/relationships/hyperlink" Target="https://doi.org/10.5281/zenodo.10975225" TargetMode="External" Id="rId139"/><Relationship Type="http://schemas.openxmlformats.org/officeDocument/2006/relationships/hyperlink" Target="https://doi.org/10.1016/j.mtphys.2024.101560" TargetMode="External" Id="rId140"/><Relationship Type="http://schemas.openxmlformats.org/officeDocument/2006/relationships/hyperlink" Target="https://alexandria.icams.rub.de/" TargetMode="External" Id="rId141"/><Relationship Type="http://schemas.openxmlformats.org/officeDocument/2006/relationships/hyperlink" Target="http://arxiv.org/abs/2312.07511" TargetMode="External" Id="rId142"/><Relationship Type="http://schemas.openxmlformats.org/officeDocument/2006/relationships/hyperlink" Target="https://arxiv.org/abs/2405.04967" TargetMode="External" Id="rId143"/><Relationship Type="http://schemas.openxmlformats.org/officeDocument/2006/relationships/hyperlink" Target="https://github.com/microsoft/mattersim" TargetMode="External" Id="rId144"/><Relationship Type="http://schemas.openxmlformats.org/officeDocument/2006/relationships/hyperlink" Target="https://doi.org/10.1038/s41524-024-01333-3" TargetMode="External" Id="rId145"/><Relationship Type="http://schemas.openxmlformats.org/officeDocument/2006/relationships/hyperlink" Target="https://github.com/mogroupumd/Learning_from_models" TargetMode="External" Id="rId146"/><Relationship Type="http://schemas.openxmlformats.org/officeDocument/2006/relationships/hyperlink" Target="https://doi.org/10.1016/j.commatsci.2024.112983" TargetMode="External" Id="rId147"/><Relationship Type="http://schemas.openxmlformats.org/officeDocument/2006/relationships/hyperlink" Target="https://doi.org/10.1038/s42256-023-00716-3" TargetMode="External" Id="rId148"/><Relationship Type="http://schemas.openxmlformats.org/officeDocument/2006/relationships/hyperlink" Target="https://doi.org/10.1021/acscatal.2c05426" TargetMode="External" Id="rId149"/><Relationship Type="http://schemas.openxmlformats.org/officeDocument/2006/relationships/hyperlink" Target="https://github.com/FAIR-Chem/fairchem" TargetMode="External" Id="rId150"/><Relationship Type="http://schemas.openxmlformats.org/officeDocument/2006/relationships/hyperlink" Target="https://doi.org/10.1038/s41597-022-01882-6" TargetMode="External" Id="rId151"/><Relationship Type="http://schemas.openxmlformats.org/officeDocument/2006/relationships/hyperlink" Target="https://github.com/openmm/spice-dataset" TargetMode="External" Id="rId152"/><Relationship Type="http://schemas.openxmlformats.org/officeDocument/2006/relationships/hyperlink" Target="https://doi.org/10.1063/5.0139611" TargetMode="External" Id="rId153"/><Relationship Type="http://schemas.openxmlformats.org/officeDocument/2006/relationships/hyperlink" Target="https://www.science.org/doi/10.1126/sciadv.adf0873" TargetMode="External" Id="rId154"/><Relationship Type="http://schemas.openxmlformats.org/officeDocument/2006/relationships/hyperlink" Target="https://doi.org/10.1021/acscatal.0c04525" TargetMode="External" Id="rId155"/><Relationship Type="http://schemas.openxmlformats.org/officeDocument/2006/relationships/hyperlink" Target="https://github.com/FAIR-Chem/fairchem" TargetMode="External" Id="rId156"/><Relationship Type="http://schemas.openxmlformats.org/officeDocument/2006/relationships/hyperlink" Target="https://www.nature.com/articles/s41524-020-00481-6" TargetMode="External" Id="rId157"/><Relationship Type="http://schemas.openxmlformats.org/officeDocument/2006/relationships/hyperlink" Target="https://www.nature.com/articles/s41598-021-94550-5" TargetMode="External" Id="rId158"/><Relationship Type="http://schemas.openxmlformats.org/officeDocument/2006/relationships/hyperlink" Target="https://www.nature.com/articles/s41524-020-00440-1" TargetMode="External" Id="rId159"/><Relationship Type="http://schemas.openxmlformats.org/officeDocument/2006/relationships/hyperlink" Target="https://www.sciencedirect.com/science/article/pii/S0010465519303042" TargetMode="External" Id="rId160"/><Relationship Type="http://schemas.openxmlformats.org/officeDocument/2006/relationships/hyperlink" Target="https://doi.org/10.1038/s41597-020-0473-z" TargetMode="External" Id="rId161"/><Relationship Type="http://schemas.openxmlformats.org/officeDocument/2006/relationships/hyperlink" Target="https://doi.org/10.6084/m9.figshare.12672038" TargetMode="External" Id="rId162"/><Relationship Type="http://schemas.openxmlformats.org/officeDocument/2006/relationships/hyperlink" Target="https://doi.org/10.6084/m9.figshare.12672038" TargetMode="External" Id="rId163"/><Relationship Type="http://schemas.openxmlformats.org/officeDocument/2006/relationships/hyperlink" Target="https://advanced.onlinelibrary.wiley.com/doi/10.1002/adma.201902765" TargetMode="External" Id="rId164"/><Relationship Type="http://schemas.openxmlformats.org/officeDocument/2006/relationships/hyperlink" Target="https://www.science.org/doi/10.1126/sciadv.1603015" TargetMode="External" Id="rId165"/><Relationship Type="http://schemas.openxmlformats.org/officeDocument/2006/relationships/table" Target="/xl/tables/table1.xml" Id="rId166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021/acsmaterialslett.6c00134" TargetMode="External" Id="rId1"/><Relationship Type="http://schemas.openxmlformats.org/officeDocument/2006/relationships/hyperlink" Target="https://doi.org/10.1021/acs.chemmater.5c02352" TargetMode="External" Id="rId2"/><Relationship Type="http://schemas.openxmlformats.org/officeDocument/2006/relationships/hyperlink" Target="https://doi.org/10.1063/5.0339982" TargetMode="External" Id="rId3"/><Relationship Type="http://schemas.openxmlformats.org/officeDocument/2006/relationships/hyperlink" Target="https://github.com/entropy4energy/2026-mlip-dos-benchmark" TargetMode="External" Id="rId4"/><Relationship Type="http://schemas.openxmlformats.org/officeDocument/2006/relationships/hyperlink" Target="https://doi.org/10.1063/5.0339982" TargetMode="External" Id="rId5"/><Relationship Type="http://schemas.openxmlformats.org/officeDocument/2006/relationships/hyperlink" Target="https://arxiv.org/abs/2609.15299" TargetMode="External" Id="rId6"/><Relationship Type="http://schemas.openxmlformats.org/officeDocument/2006/relationships/hyperlink" Target="https://jobs.sluschi-mapp.org/meltbench" TargetMode="External" Id="rId7"/><Relationship Type="http://schemas.openxmlformats.org/officeDocument/2006/relationships/hyperlink" Target="https://doi.org/10.1038/s41524-026-01977-3" TargetMode="External" Id="rId8"/><Relationship Type="http://schemas.openxmlformats.org/officeDocument/2006/relationships/hyperlink" Target="https://doi.org/10.1038/s41524-026-02286-5" TargetMode="External" Id="rId9"/><Relationship Type="http://schemas.openxmlformats.org/officeDocument/2006/relationships/hyperlink" Target="https://huggingface.co/datasets/JSteffen91/OMOL-1k-MD" TargetMode="External" Id="rId10"/><Relationship Type="http://schemas.openxmlformats.org/officeDocument/2006/relationships/hyperlink" Target="https://doi.org/10.1007/s44371-026-00865-5" TargetMode="External" Id="rId11"/><Relationship Type="http://schemas.openxmlformats.org/officeDocument/2006/relationships/hyperlink" Target="https://arxiv.org/abs/2511.20487" TargetMode="External" Id="rId12"/><Relationship Type="http://schemas.openxmlformats.org/officeDocument/2006/relationships/hyperlink" Target="https://github.com/instadeepai/mlipaudit" TargetMode="External" Id="rId13"/><Relationship Type="http://schemas.openxmlformats.org/officeDocument/2006/relationships/hyperlink" Target="https://huggingface.co/spaces/InstaDeepAI/mlipaudit-leaderboard" TargetMode="External" Id="rId14"/><Relationship Type="http://schemas.openxmlformats.org/officeDocument/2006/relationships/hyperlink" Target="https://matcalc.ai/" TargetMode="External" Id="rId15"/><Relationship Type="http://schemas.openxmlformats.org/officeDocument/2006/relationships/hyperlink" Target="https://doi.org/10.1002/smll.202503956" TargetMode="External" Id="rId16"/><Relationship Type="http://schemas.openxmlformats.org/officeDocument/2006/relationships/hyperlink" Target="https://arxiv.org/abs/2508.15614" TargetMode="External" Id="rId17"/><Relationship Type="http://schemas.openxmlformats.org/officeDocument/2006/relationships/hyperlink" Target="https://doi.org/10.1088/2632-2153/adea2d" TargetMode="External" Id="rId18"/><Relationship Type="http://schemas.openxmlformats.org/officeDocument/2006/relationships/hyperlink" Target="https://doi.org/10.1039/D4SC06530A" TargetMode="External" Id="rId19"/><Relationship Type="http://schemas.openxmlformats.org/officeDocument/2006/relationships/hyperlink" Target="https://doi.org/10.5281/zenodo.10414029" TargetMode="External" Id="rId20"/><Relationship Type="http://schemas.openxmlformats.org/officeDocument/2006/relationships/hyperlink" Target="https://arxiv.org/abs/2510.22999" TargetMode="External" Id="rId21"/><Relationship Type="http://schemas.openxmlformats.org/officeDocument/2006/relationships/hyperlink" Target="https://doi.org/10.4208/cicc.2025.90.02" TargetMode="External" Id="rId22"/><Relationship Type="http://schemas.openxmlformats.org/officeDocument/2006/relationships/hyperlink" Target="https://doi.org/10.1038/s41524-025-01814-z" TargetMode="External" Id="rId23"/><Relationship Type="http://schemas.openxmlformats.org/officeDocument/2006/relationships/hyperlink" Target="https://doi.org/10.1016/j.actamat.2024.119788" TargetMode="External" Id="rId24"/><Relationship Type="http://schemas.openxmlformats.org/officeDocument/2006/relationships/hyperlink" Target="https://github.com/leiapple/Potential_benchmark_iron" TargetMode="External" Id="rId25"/><Relationship Type="http://schemas.openxmlformats.org/officeDocument/2006/relationships/hyperlink" Target="https://doi.org/10.1038/s41524-024-01264-z" TargetMode="External" Id="rId26"/><Relationship Type="http://schemas.openxmlformats.org/officeDocument/2006/relationships/hyperlink" Target="https://arxiv.org/abs/2402.18891" TargetMode="External" Id="rId27"/><Relationship Type="http://schemas.openxmlformats.org/officeDocument/2006/relationships/hyperlink" Target="https://doi.org/10.1088/2632-2153/ad5f11" TargetMode="External" Id="rId28"/><Relationship Type="http://schemas.openxmlformats.org/officeDocument/2006/relationships/hyperlink" Target="https://doi.org/10.1063/1.5023802" TargetMode="External" Id="rId29"/><Relationship Type="http://schemas.openxmlformats.org/officeDocument/2006/relationships/hyperlink" Target="https://github.com/isayev/COMP6" TargetMode="External" Id="rId30"/><Relationship Type="http://schemas.openxmlformats.org/officeDocument/2006/relationships/hyperlink" Target="https://doi.org/10.1038/s43588-026-00996-w" TargetMode="External" Id="rId31"/><Relationship Type="http://schemas.openxmlformats.org/officeDocument/2006/relationships/hyperlink" Target="https://github.com/FAIR-Chem/fairchem" TargetMode="External" Id="rId32"/><Relationship Type="http://schemas.openxmlformats.org/officeDocument/2006/relationships/hyperlink" Target="https://huggingface.co/datasets/facebook/OMAT24" TargetMode="External" Id="rId33"/><Relationship Type="http://schemas.openxmlformats.org/officeDocument/2006/relationships/hyperlink" Target="https://doi.org/10.1016/j.jmgm.2026.109522" TargetMode="External" Id="rId34"/><Relationship Type="http://schemas.openxmlformats.org/officeDocument/2006/relationships/hyperlink" Target="https://doi.org/10.1038/s41524-025-01834-9" TargetMode="External" Id="rId35"/><Relationship Type="http://schemas.openxmlformats.org/officeDocument/2006/relationships/hyperlink" Target="https://github.com/matthewkuner/MP-ALOE" TargetMode="External" Id="rId36"/><Relationship Type="http://schemas.openxmlformats.org/officeDocument/2006/relationships/hyperlink" Target="https://doi.org/10.6084/m9.figshare.29452190" TargetMode="External" Id="rId37"/><Relationship Type="http://schemas.openxmlformats.org/officeDocument/2006/relationships/hyperlink" Target="https://arxiv.org/abs/2509.17862" TargetMode="External" Id="rId38"/><Relationship Type="http://schemas.openxmlformats.org/officeDocument/2006/relationships/hyperlink" Target="https://github.com/FAIR-Chem/fairchem" TargetMode="External" Id="rId39"/><Relationship Type="http://schemas.openxmlformats.org/officeDocument/2006/relationships/hyperlink" Target="https://arxiv.org/abs/2505.08762" TargetMode="External" Id="rId40"/><Relationship Type="http://schemas.openxmlformats.org/officeDocument/2006/relationships/hyperlink" Target="https://github.com/FAIR-Chem/fairchem" TargetMode="External" Id="rId41"/><Relationship Type="http://schemas.openxmlformats.org/officeDocument/2006/relationships/hyperlink" Target="https://doi.org/10.1063/5.0297006" TargetMode="External" Id="rId42"/><Relationship Type="http://schemas.openxmlformats.org/officeDocument/2006/relationships/hyperlink" Target="https://github.com/ACEsuit/mace-mp" TargetMode="External" Id="rId43"/><Relationship Type="http://schemas.openxmlformats.org/officeDocument/2006/relationships/hyperlink" Target="https://github.com/ACEsuit/mace-mp" TargetMode="External" Id="rId44"/><Relationship Type="http://schemas.openxmlformats.org/officeDocument/2006/relationships/hyperlink" Target="https://doi.org/10.1038/s41467-025-59232-0" TargetMode="External" Id="rId45"/><Relationship Type="http://schemas.openxmlformats.org/officeDocument/2006/relationships/hyperlink" Target="https://github.com/dskoda/quests" TargetMode="External" Id="rId46"/><Relationship Type="http://schemas.openxmlformats.org/officeDocument/2006/relationships/hyperlink" Target="https://arxiv.org/abs/2501.09009" TargetMode="External" Id="rId47"/><Relationship Type="http://schemas.openxmlformats.org/officeDocument/2006/relationships/hyperlink" Target="https://github.com/ASK-Berkeley/MLFF-distill" TargetMode="External" Id="rId48"/><Relationship Type="http://schemas.openxmlformats.org/officeDocument/2006/relationships/hyperlink" Target="https://openreview.net/forum?id=b8qZpGJIkw" TargetMode="External" Id="rId49"/><Relationship Type="http://schemas.openxmlformats.org/officeDocument/2006/relationships/hyperlink" Target="https://colabfit.org/" TargetMode="External" Id="rId50"/><Relationship Type="http://schemas.openxmlformats.org/officeDocument/2006/relationships/hyperlink" Target="https://doi.org/10.1021/acs.jctc.4c00794" TargetMode="External" Id="rId51"/><Relationship Type="http://schemas.openxmlformats.org/officeDocument/2006/relationships/hyperlink" Target="https://github.com/openmm/spice-dataset" TargetMode="External" Id="rId52"/><Relationship Type="http://schemas.openxmlformats.org/officeDocument/2006/relationships/hyperlink" Target="https://doi.org/10.5281/zenodo.10975225" TargetMode="External" Id="rId53"/><Relationship Type="http://schemas.openxmlformats.org/officeDocument/2006/relationships/hyperlink" Target="https://doi.org/10.1016/j.mtphys.2024.101560" TargetMode="External" Id="rId54"/><Relationship Type="http://schemas.openxmlformats.org/officeDocument/2006/relationships/hyperlink" Target="https://alexandria.icams.rub.de/" TargetMode="External" Id="rId55"/><Relationship Type="http://schemas.openxmlformats.org/officeDocument/2006/relationships/hyperlink" Target="https://arxiv.org/abs/2405.04967" TargetMode="External" Id="rId56"/><Relationship Type="http://schemas.openxmlformats.org/officeDocument/2006/relationships/hyperlink" Target="https://github.com/microsoft/mattersim" TargetMode="External" Id="rId57"/><Relationship Type="http://schemas.openxmlformats.org/officeDocument/2006/relationships/hyperlink" Target="https://doi.org/10.1038/s41524-024-01333-3" TargetMode="External" Id="rId58"/><Relationship Type="http://schemas.openxmlformats.org/officeDocument/2006/relationships/hyperlink" Target="https://github.com/mogroupumd/Learning_from_models" TargetMode="External" Id="rId59"/><Relationship Type="http://schemas.openxmlformats.org/officeDocument/2006/relationships/hyperlink" Target="https://doi.org/10.1016/j.commatsci.2024.112983" TargetMode="External" Id="rId60"/><Relationship Type="http://schemas.openxmlformats.org/officeDocument/2006/relationships/hyperlink" Target="https://doi.org/10.1038/s42256-023-00716-3" TargetMode="External" Id="rId61"/><Relationship Type="http://schemas.openxmlformats.org/officeDocument/2006/relationships/hyperlink" Target="https://doi.org/10.1021/acscatal.2c05426" TargetMode="External" Id="rId62"/><Relationship Type="http://schemas.openxmlformats.org/officeDocument/2006/relationships/hyperlink" Target="https://github.com/FAIR-Chem/fairchem" TargetMode="External" Id="rId63"/><Relationship Type="http://schemas.openxmlformats.org/officeDocument/2006/relationships/hyperlink" Target="https://doi.org/10.1038/s41597-022-01882-6" TargetMode="External" Id="rId64"/><Relationship Type="http://schemas.openxmlformats.org/officeDocument/2006/relationships/hyperlink" Target="https://github.com/openmm/spice-dataset" TargetMode="External" Id="rId65"/><Relationship Type="http://schemas.openxmlformats.org/officeDocument/2006/relationships/hyperlink" Target="https://doi.org/10.1063/5.0139611" TargetMode="External" Id="rId66"/><Relationship Type="http://schemas.openxmlformats.org/officeDocument/2006/relationships/hyperlink" Target="https://doi.org/10.1021/acscatal.0c04525" TargetMode="External" Id="rId67"/><Relationship Type="http://schemas.openxmlformats.org/officeDocument/2006/relationships/hyperlink" Target="https://github.com/FAIR-Chem/fairchem" TargetMode="External" Id="rId68"/><Relationship Type="http://schemas.openxmlformats.org/officeDocument/2006/relationships/hyperlink" Target="https://doi.org/10.1038/s41597-020-0473-z" TargetMode="External" Id="rId69"/><Relationship Type="http://schemas.openxmlformats.org/officeDocument/2006/relationships/hyperlink" Target="https://doi.org/10.6084/m9.figshare.12672038" TargetMode="External" Id="rId70"/><Relationship Type="http://schemas.openxmlformats.org/officeDocument/2006/relationships/hyperlink" Target="https://doi.org/10.6084/m9.figshare.12672038" TargetMode="External" Id="rId71"/><Relationship Type="http://schemas.openxmlformats.org/officeDocument/2006/relationships/table" Target="/xl/tables/table2.xm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" customWidth="1" min="3" max="3"/>
    <col width="40" customWidth="1" min="4" max="4"/>
    <col width="12" customWidth="1" min="5" max="5"/>
    <col width="3" customWidth="1" min="6" max="6"/>
    <col width="14" customWidth="1" min="7" max="7"/>
    <col width="12" customWidth="1" min="8" max="8"/>
  </cols>
  <sheetData>
    <row r="1">
      <c r="A1" s="1" t="inlineStr">
        <is>
          <t>Awesome MLIPs Benchmark — Curated Database Summary</t>
        </is>
      </c>
    </row>
    <row r="2">
      <c r="A2" t="inlineStr">
        <is>
          <t>Last verified</t>
        </is>
      </c>
      <c r="B2" t="inlineStr">
        <is>
          <t>2026-09-29</t>
        </is>
      </c>
    </row>
    <row r="4">
      <c r="A4" s="2" t="inlineStr">
        <is>
          <t>KPI</t>
        </is>
      </c>
      <c r="B4" s="2" t="inlineStr">
        <is>
          <t>Value</t>
        </is>
      </c>
      <c r="D4" s="2" t="inlineStr">
        <is>
          <t>Category</t>
        </is>
      </c>
      <c r="E4" s="2" t="inlineStr">
        <is>
          <t>Count</t>
        </is>
      </c>
      <c r="G4" s="2" t="inlineStr">
        <is>
          <t>Year</t>
        </is>
      </c>
      <c r="H4" s="2" t="inlineStr">
        <is>
          <t>Count</t>
        </is>
      </c>
    </row>
    <row r="5">
      <c r="A5" t="inlineStr">
        <is>
          <t>Total normalized records</t>
        </is>
      </c>
      <c r="B5" s="3">
        <f>COUNTA('Benchmark Index'!A:A)-1</f>
        <v/>
      </c>
      <c r="D5" t="inlineStr">
        <is>
          <t>Batteries, diffusion and ion transport</t>
        </is>
      </c>
      <c r="E5">
        <f>COUNTIF('Benchmark Index'!G:G,D5)</f>
        <v/>
      </c>
      <c r="G5" t="inlineStr">
        <is>
          <t>2026</t>
        </is>
      </c>
      <c r="H5">
        <f>COUNTIF('Benchmark Index'!D:D,G5)</f>
        <v/>
      </c>
    </row>
    <row r="6">
      <c r="A6" t="inlineStr">
        <is>
          <t>Unique existing records</t>
        </is>
      </c>
      <c r="B6" s="3">
        <f>COUNTIF('Benchmark Index'!V:V,"Yes")</f>
        <v/>
      </c>
      <c r="D6" t="inlineStr">
        <is>
          <t>Benchmark suites and platforms</t>
        </is>
      </c>
      <c r="E6">
        <f>COUNTIF('Benchmark Index'!G:G,D6)</f>
        <v/>
      </c>
      <c r="G6" t="inlineStr">
        <is>
          <t>2025</t>
        </is>
      </c>
      <c r="H6">
        <f>COUNTIF('Benchmark Index'!D:D,G6)</f>
        <v/>
      </c>
    </row>
    <row r="7">
      <c r="A7" t="inlineStr">
        <is>
          <t>New additions</t>
        </is>
      </c>
      <c r="B7" s="3">
        <f>COUNTIF('Benchmark Index'!V:V,"No")</f>
        <v/>
      </c>
      <c r="D7" t="inlineStr">
        <is>
          <t>Broader atomistic ML benchmarks</t>
        </is>
      </c>
      <c r="E7">
        <f>COUNTIF('Benchmark Index'!G:G,D7)</f>
        <v/>
      </c>
      <c r="G7" t="inlineStr">
        <is>
          <t>2024</t>
        </is>
      </c>
      <c r="H7">
        <f>COUNTIF('Benchmark Index'!D:D,G7)</f>
        <v/>
      </c>
    </row>
    <row r="8">
      <c r="A8" t="inlineStr">
        <is>
          <t>Core resources</t>
        </is>
      </c>
      <c r="B8" s="3">
        <f>COUNTIF('Benchmark Index'!F:F,"Core")</f>
        <v/>
      </c>
      <c r="D8" t="inlineStr">
        <is>
          <t>Crystal search, stability and generation</t>
        </is>
      </c>
      <c r="E8">
        <f>COUNTIF('Benchmark Index'!G:G,D8)</f>
        <v/>
      </c>
      <c r="G8" t="inlineStr">
        <is>
          <t>2023</t>
        </is>
      </c>
      <c r="H8">
        <f>COUNTIF('Benchmark Index'!D:D,G8)</f>
        <v/>
      </c>
    </row>
    <row r="9">
      <c r="A9" t="inlineStr">
        <is>
          <t>Supporting resources</t>
        </is>
      </c>
      <c r="B9" s="3">
        <f>COUNTIF('Benchmark Index'!F:F,"Supporting")</f>
        <v/>
      </c>
      <c r="D9" t="inlineStr">
        <is>
          <t>Defects, disorder and dimensionality</t>
        </is>
      </c>
      <c r="E9">
        <f>COUNTIF('Benchmark Index'!G:G,D9)</f>
        <v/>
      </c>
      <c r="G9" t="inlineStr">
        <is>
          <t>2021</t>
        </is>
      </c>
      <c r="H9">
        <f>COUNTIF('Benchmark Index'!D:D,G9)</f>
        <v/>
      </c>
    </row>
    <row r="10">
      <c r="D10" t="inlineStr">
        <is>
          <t>Downstream electronic properties</t>
        </is>
      </c>
      <c r="E10">
        <f>COUNTIF('Benchmark Index'!G:G,D10)</f>
        <v/>
      </c>
      <c r="G10" t="inlineStr">
        <is>
          <t>2020</t>
        </is>
      </c>
      <c r="H10">
        <f>COUNTIF('Benchmark Index'!D:D,G10)</f>
        <v/>
      </c>
    </row>
    <row r="11">
      <c r="D11" t="inlineStr">
        <is>
          <t>Dynamics and finite temperature</t>
        </is>
      </c>
      <c r="E11">
        <f>COUNTIF('Benchmark Index'!G:G,D11)</f>
        <v/>
      </c>
      <c r="G11" t="inlineStr">
        <is>
          <t>2019</t>
        </is>
      </c>
      <c r="H11">
        <f>COUNTIF('Benchmark Index'!D:D,G11)</f>
        <v/>
      </c>
    </row>
    <row r="12">
      <c r="D12" t="inlineStr">
        <is>
          <t>Experimental observables</t>
        </is>
      </c>
      <c r="E12">
        <f>COUNTIF('Benchmark Index'!G:G,D12)</f>
        <v/>
      </c>
      <c r="G12" t="inlineStr">
        <is>
          <t>2018</t>
        </is>
      </c>
      <c r="H12">
        <f>COUNTIF('Benchmark Index'!D:D,G12)</f>
        <v/>
      </c>
    </row>
    <row r="13">
      <c r="D13" t="inlineStr">
        <is>
          <t>Foundation datasets and model ecosystems</t>
        </is>
      </c>
      <c r="E13">
        <f>COUNTIF('Benchmark Index'!G:G,D13)</f>
        <v/>
      </c>
      <c r="G13" t="inlineStr">
        <is>
          <t>2017</t>
        </is>
      </c>
      <c r="H13">
        <f>COUNTIF('Benchmark Index'!D:D,G13)</f>
        <v/>
      </c>
    </row>
    <row r="14">
      <c r="D14" t="inlineStr">
        <is>
          <t>General and foundation MLIP evaluation</t>
        </is>
      </c>
      <c r="E14">
        <f>COUNTIF('Benchmark Index'!G:G,D14)</f>
        <v/>
      </c>
    </row>
    <row r="15">
      <c r="D15" t="inlineStr">
        <is>
          <t>MOFs, zeolites and molecular crystals</t>
        </is>
      </c>
      <c r="E15">
        <f>COUNTIF('Benchmark Index'!G:G,D15)</f>
        <v/>
      </c>
    </row>
    <row r="16">
      <c r="D16" t="inlineStr">
        <is>
          <t>Mechanical and elastic properties</t>
        </is>
      </c>
      <c r="E16">
        <f>COUNTIF('Benchmark Index'!G:G,D16)</f>
        <v/>
      </c>
    </row>
    <row r="17">
      <c r="D17" t="inlineStr">
        <is>
          <t>Methodology, reliability and efficiency</t>
        </is>
      </c>
      <c r="E17">
        <f>COUNTIF('Benchmark Index'!G:G,D17)</f>
        <v/>
      </c>
    </row>
    <row r="18">
      <c r="D18" t="inlineStr">
        <is>
          <t>Molecules, reactions and chemical kinetics</t>
        </is>
      </c>
      <c r="E18">
        <f>COUNTIF('Benchmark Index'!G:G,D18)</f>
        <v/>
      </c>
    </row>
    <row r="19">
      <c r="D19" t="inlineStr">
        <is>
          <t>Phonons, vibrations and thermal</t>
        </is>
      </c>
      <c r="E19">
        <f>COUNTIF('Benchmark Index'!G:G,D19)</f>
        <v/>
      </c>
    </row>
    <row r="20">
      <c r="D20" t="inlineStr">
        <is>
          <t>Surfaces, interfaces and catalysis</t>
        </is>
      </c>
      <c r="E20">
        <f>COUNTIF('Benchmark Index'!G:G,D20)</f>
        <v/>
      </c>
    </row>
    <row r="21">
      <c r="D21" t="inlineStr">
        <is>
          <t>Thermodynamics and phase diagrams</t>
        </is>
      </c>
      <c r="E21">
        <f>COUNTIF('Benchmark Index'!G:G,D21)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58" customWidth="1" min="3" max="3"/>
    <col width="9" customWidth="1" min="4" max="4"/>
    <col width="26" customWidth="1" min="5" max="5"/>
    <col width="12" customWidth="1" min="6" max="6"/>
    <col width="34" customWidth="1" min="7" max="7"/>
    <col width="30" customWidth="1" min="8" max="8"/>
    <col width="42" customWidth="1" min="9" max="9"/>
    <col width="35" customWidth="1" min="10" max="10"/>
    <col width="40" customWidth="1" min="11" max="11"/>
    <col width="30" customWidth="1" min="12" max="12"/>
    <col width="26" customWidth="1" min="13" max="13"/>
    <col width="42" customWidth="1" min="14" max="14"/>
    <col width="42" customWidth="1" min="15" max="15"/>
    <col width="42" customWidth="1" min="16" max="16"/>
    <col width="14" customWidth="1" min="17" max="17"/>
    <col width="14" customWidth="1" min="18" max="18"/>
    <col width="30" customWidth="1" min="19" max="19"/>
    <col width="18" customWidth="1" min="20" max="20"/>
    <col width="16" customWidth="1" min="21" max="21"/>
    <col width="15" customWidth="1" min="22" max="22"/>
    <col width="16" customWidth="1" min="23" max="23"/>
    <col width="48" customWidth="1" min="24" max="24"/>
  </cols>
  <sheetData>
    <row r="1" ht="34" customHeight="1">
      <c r="A1" s="4" t="inlineStr">
        <is>
          <t>Record_ID</t>
        </is>
      </c>
      <c r="B1" s="4" t="inlineStr">
        <is>
          <t>Original_Zotero_Key</t>
        </is>
      </c>
      <c r="C1" s="4" t="inlineStr">
        <is>
          <t>Title</t>
        </is>
      </c>
      <c r="D1" s="4" t="inlineStr">
        <is>
          <t>Year</t>
        </is>
      </c>
      <c r="E1" s="4" t="inlineStr">
        <is>
          <t>Resource_Type</t>
        </is>
      </c>
      <c r="F1" s="4" t="inlineStr">
        <is>
          <t>Scope_Tier</t>
        </is>
      </c>
      <c r="G1" s="4" t="inlineStr">
        <is>
          <t>Primary_Category</t>
        </is>
      </c>
      <c r="H1" s="4" t="inlineStr">
        <is>
          <t>System_Class</t>
        </is>
      </c>
      <c r="I1" s="4" t="inlineStr">
        <is>
          <t>Benchmark_Tasks</t>
        </is>
      </c>
      <c r="J1" s="4" t="inlineStr">
        <is>
          <t>Models_Evaluated</t>
        </is>
      </c>
      <c r="K1" s="4" t="inlineStr">
        <is>
          <t>Key_Metrics</t>
        </is>
      </c>
      <c r="L1" s="4" t="inlineStr">
        <is>
          <t>Reference_Baseline</t>
        </is>
      </c>
      <c r="M1" s="4" t="inlineStr">
        <is>
          <t>DOI</t>
        </is>
      </c>
      <c r="N1" s="4" t="inlineStr">
        <is>
          <t>URL</t>
        </is>
      </c>
      <c r="O1" s="4" t="inlineStr">
        <is>
          <t>Code_URL</t>
        </is>
      </c>
      <c r="P1" s="4" t="inlineStr">
        <is>
          <t>Data_URL</t>
        </is>
      </c>
      <c r="Q1" s="4" t="inlineStr">
        <is>
          <t>Peer_Reviewed</t>
        </is>
      </c>
      <c r="R1" s="4" t="inlineStr">
        <is>
          <t>Open_Source</t>
        </is>
      </c>
      <c r="S1" s="4" t="inlineStr">
        <is>
          <t>Source_Status</t>
        </is>
      </c>
      <c r="T1" s="4" t="inlineStr">
        <is>
          <t>Curation_Confidence</t>
        </is>
      </c>
      <c r="U1" s="4" t="inlineStr">
        <is>
          <t>Last_Verified</t>
        </is>
      </c>
      <c r="V1" s="4" t="inlineStr">
        <is>
          <t>In_Current_CSV</t>
        </is>
      </c>
      <c r="W1" s="4" t="inlineStr">
        <is>
          <t>README_Priority</t>
        </is>
      </c>
      <c r="X1" s="4" t="inlineStr">
        <is>
          <t>Notes</t>
        </is>
      </c>
    </row>
    <row r="2">
      <c r="A2" s="5" t="inlineStr">
        <is>
          <t>N004</t>
        </is>
      </c>
      <c r="B2" s="5" t="inlineStr"/>
      <c r="C2" s="5" t="inlineStr">
        <is>
          <t>Benchmarking Universal Machine Learning Interatomic Potentials for Alkali-Ion Battery Kinetics</t>
        </is>
      </c>
      <c r="D2" s="5" t="inlineStr">
        <is>
          <t>2026</t>
        </is>
      </c>
      <c r="E2" s="5" t="inlineStr">
        <is>
          <t>Core benchmark study</t>
        </is>
      </c>
      <c r="F2" s="5" t="inlineStr">
        <is>
          <t>Core</t>
        </is>
      </c>
      <c r="G2" s="5" t="inlineStr">
        <is>
          <t>Batteries, diffusion and ion transport</t>
        </is>
      </c>
      <c r="H2" s="5" t="inlineStr">
        <is>
          <t>Alkali-ion cathodes and solid electrolytes</t>
        </is>
      </c>
      <c r="I2" s="5" t="inlineStr">
        <is>
          <t>Migration barriers; finite-temperature diffusion; structural correlations</t>
        </is>
      </c>
      <c r="J2" s="5" t="inlineStr">
        <is>
          <t>M3GNet; CHGNet; MatterSim; MACE; SevenNet; GRACE; Orb</t>
        </is>
      </c>
      <c r="K2" s="5" t="inlineStr">
        <is>
          <t>Barrier error; diffusivity; diffusion activation behavior</t>
        </is>
      </c>
      <c r="L2" s="5" t="inlineStr">
        <is>
          <t>DFT / AIMD</t>
        </is>
      </c>
      <c r="M2" s="6" t="inlineStr">
        <is>
          <t>10.1021/acsmaterialslett.6c00134</t>
        </is>
      </c>
      <c r="N2" s="7" t="inlineStr">
        <is>
          <t>https://doi.org/10.1021/acsmaterialslett.6c00134</t>
        </is>
      </c>
      <c r="O2" s="5" t="inlineStr"/>
      <c r="P2" s="5" t="inlineStr"/>
      <c r="Q2" s="5" t="inlineStr">
        <is>
          <t>Yes</t>
        </is>
      </c>
      <c r="R2" s="5" t="inlineStr">
        <is>
          <t>Unknown</t>
        </is>
      </c>
      <c r="S2" s="8" t="inlineStr">
        <is>
          <t>New literature sweep; web-verified</t>
        </is>
      </c>
      <c r="T2" s="9" t="inlineStr">
        <is>
          <t>A</t>
        </is>
      </c>
      <c r="U2" s="8" t="inlineStr">
        <is>
          <t>2026-09-29</t>
        </is>
      </c>
      <c r="V2" s="5" t="inlineStr">
        <is>
          <t>No</t>
        </is>
      </c>
      <c r="W2" s="5" t="inlineStr">
        <is>
          <t>High</t>
        </is>
      </c>
      <c r="X2" s="5" t="inlineStr">
        <is>
          <t>Combines static barrier and dynamic transport evaluation.</t>
        </is>
      </c>
    </row>
    <row r="3">
      <c r="A3" s="5" t="inlineStr">
        <is>
          <t>E005</t>
        </is>
      </c>
      <c r="B3" s="5" t="inlineStr">
        <is>
          <t>CB4CC5WC</t>
        </is>
      </c>
      <c r="C3" s="5" t="inlineStr">
        <is>
          <t>Benchmarking short-range machine learning potentials for atomistic simulations of metal/electrolyte interfaces</t>
        </is>
      </c>
      <c r="D3" s="5" t="inlineStr">
        <is>
          <t>2026</t>
        </is>
      </c>
      <c r="E3" s="5" t="inlineStr">
        <is>
          <t>Core benchmark study</t>
        </is>
      </c>
      <c r="F3" s="5" t="inlineStr">
        <is>
          <t>Core</t>
        </is>
      </c>
      <c r="G3" s="5" t="inlineStr">
        <is>
          <t>Batteries, diffusion and ion transport</t>
        </is>
      </c>
      <c r="H3" s="5" t="inlineStr">
        <is>
          <t>Metals / alloys / elemental solids</t>
        </is>
      </c>
      <c r="I3" s="5" t="inlineStr">
        <is>
          <t>energy/force/stress accuracy</t>
        </is>
      </c>
      <c r="J3" s="5" t="inlineStr"/>
      <c r="K3" s="5" t="inlineStr">
        <is>
          <t>energy/force/stress MAE or RMSE</t>
        </is>
      </c>
      <c r="L3" s="5" t="inlineStr">
        <is>
          <t>DFT / reference data (see paper)</t>
        </is>
      </c>
      <c r="M3" s="5" t="inlineStr"/>
      <c r="N3" s="7" t="inlineStr">
        <is>
          <t>https://arxiv.org/abs/2602.22931v1</t>
        </is>
      </c>
      <c r="O3" s="5" t="inlineStr"/>
      <c r="P3" s="5" t="inlineStr"/>
      <c r="Q3" s="5" t="inlineStr">
        <is>
          <t>Unknown</t>
        </is>
      </c>
      <c r="R3" s="5" t="inlineStr">
        <is>
          <t>Unknown</t>
        </is>
      </c>
      <c r="S3" s="8" t="inlineStr">
        <is>
          <t>Existing Zotero bibliography; normalized</t>
        </is>
      </c>
      <c r="T3" s="10" t="inlineStr">
        <is>
          <t>B</t>
        </is>
      </c>
      <c r="U3" s="8" t="inlineStr">
        <is>
          <t>2026-09-29</t>
        </is>
      </c>
      <c r="V3" s="5" t="inlineStr">
        <is>
          <t>Yes</t>
        </is>
      </c>
      <c r="W3" s="5" t="inlineStr">
        <is>
          <t>Medium</t>
        </is>
      </c>
      <c r="X3" s="5" t="inlineStr"/>
    </row>
    <row r="4">
      <c r="A4" s="5" t="inlineStr">
        <is>
          <t>E054</t>
        </is>
      </c>
      <c r="B4" s="5" t="inlineStr">
        <is>
          <t>XCBWIVF3</t>
        </is>
      </c>
      <c r="C4" s="5" t="inlineStr">
        <is>
          <t>Li-P-S Electrolyte Materials as a Benchmark for Machine-Learned Interatomic Potentials</t>
        </is>
      </c>
      <c r="D4" s="5" t="inlineStr">
        <is>
          <t>2026</t>
        </is>
      </c>
      <c r="E4" s="5" t="inlineStr">
        <is>
          <t>Core benchmark study</t>
        </is>
      </c>
      <c r="F4" s="5" t="inlineStr">
        <is>
          <t>Core</t>
        </is>
      </c>
      <c r="G4" s="5" t="inlineStr">
        <is>
          <t>Batteries, diffusion and ion transport</t>
        </is>
      </c>
      <c r="H4" s="5" t="inlineStr">
        <is>
          <t>Battery / ionic materials</t>
        </is>
      </c>
      <c r="I4" s="5" t="inlineStr">
        <is>
          <t>energy/force/stress accuracy</t>
        </is>
      </c>
      <c r="J4" s="5" t="inlineStr"/>
      <c r="K4" s="5" t="inlineStr">
        <is>
          <t>energy/force/stress MAE or RMSE</t>
        </is>
      </c>
      <c r="L4" s="5" t="inlineStr">
        <is>
          <t>DFT / reference data (see paper)</t>
        </is>
      </c>
      <c r="M4" s="6" t="inlineStr">
        <is>
          <t>10.1021/acs.jctc.5c02006</t>
        </is>
      </c>
      <c r="N4" s="7" t="inlineStr">
        <is>
          <t>https://doi.org/10.1021/acs.jctc.5c02006</t>
        </is>
      </c>
      <c r="O4" s="5" t="inlineStr"/>
      <c r="P4" s="5" t="inlineStr"/>
      <c r="Q4" s="5" t="inlineStr">
        <is>
          <t>Yes</t>
        </is>
      </c>
      <c r="R4" s="5" t="inlineStr">
        <is>
          <t>Unknown</t>
        </is>
      </c>
      <c r="S4" s="8" t="inlineStr">
        <is>
          <t>Existing Zotero bibliography; normalized</t>
        </is>
      </c>
      <c r="T4" s="10" t="inlineStr">
        <is>
          <t>B</t>
        </is>
      </c>
      <c r="U4" s="8" t="inlineStr">
        <is>
          <t>2026-09-29</t>
        </is>
      </c>
      <c r="V4" s="5" t="inlineStr">
        <is>
          <t>Yes</t>
        </is>
      </c>
      <c r="W4" s="5" t="inlineStr">
        <is>
          <t>Medium</t>
        </is>
      </c>
      <c r="X4" s="5" t="inlineStr"/>
    </row>
    <row r="5">
      <c r="A5" s="5" t="inlineStr">
        <is>
          <t>N038</t>
        </is>
      </c>
      <c r="B5" s="5" t="inlineStr"/>
      <c r="C5" s="5" t="inlineStr">
        <is>
          <t>Performance-Based Selection of Machine Learning Interatomic Potentials for Studying Solid-State Electrolytes</t>
        </is>
      </c>
      <c r="D5" s="5" t="inlineStr">
        <is>
          <t>2026</t>
        </is>
      </c>
      <c r="E5" s="5" t="inlineStr">
        <is>
          <t>Application benchmark study</t>
        </is>
      </c>
      <c r="F5" s="5" t="inlineStr">
        <is>
          <t>Core</t>
        </is>
      </c>
      <c r="G5" s="5" t="inlineStr">
        <is>
          <t>Batteries, diffusion and ion transport</t>
        </is>
      </c>
      <c r="H5" s="5" t="inlineStr">
        <is>
          <t>Li6PS5Cl solid-state electrolyte</t>
        </is>
      </c>
      <c r="I5" s="5" t="inlineStr">
        <is>
          <t>Structural; energetic; dynamic properties; disorder and transport</t>
        </is>
      </c>
      <c r="J5" s="5" t="inlineStr">
        <is>
          <t>Several pretrained MLIPs</t>
        </is>
      </c>
      <c r="K5" s="5" t="inlineStr">
        <is>
          <t>Structure/energy errors; dynamic behavior; Li transport</t>
        </is>
      </c>
      <c r="L5" s="5" t="inlineStr">
        <is>
          <t>DFT</t>
        </is>
      </c>
      <c r="M5" s="6" t="inlineStr">
        <is>
          <t>10.1021/acs.chemmater.5c02352</t>
        </is>
      </c>
      <c r="N5" s="7" t="inlineStr">
        <is>
          <t>https://doi.org/10.1021/acs.chemmater.5c02352</t>
        </is>
      </c>
      <c r="O5" s="5" t="inlineStr"/>
      <c r="P5" s="5" t="inlineStr"/>
      <c r="Q5" s="5" t="inlineStr">
        <is>
          <t>Yes</t>
        </is>
      </c>
      <c r="R5" s="5" t="inlineStr">
        <is>
          <t>Unknown</t>
        </is>
      </c>
      <c r="S5" s="8" t="inlineStr">
        <is>
          <t>New literature sweep; web-verified</t>
        </is>
      </c>
      <c r="T5" s="9" t="inlineStr">
        <is>
          <t>A</t>
        </is>
      </c>
      <c r="U5" s="8" t="inlineStr">
        <is>
          <t>2026-09-29</t>
        </is>
      </c>
      <c r="V5" s="5" t="inlineStr">
        <is>
          <t>No</t>
        </is>
      </c>
      <c r="W5" s="5" t="inlineStr">
        <is>
          <t>High</t>
        </is>
      </c>
      <c r="X5" s="5" t="inlineStr">
        <is>
          <t>Highlights energy-force consistency and subtle configurational generalization.</t>
        </is>
      </c>
    </row>
    <row r="6">
      <c r="A6" s="5" t="inlineStr">
        <is>
          <t>E029</t>
        </is>
      </c>
      <c r="B6" s="5" t="inlineStr">
        <is>
          <t>BLJXRAZH</t>
        </is>
      </c>
      <c r="C6" s="5" t="inlineStr">
        <is>
          <t>LAMBench: a benchmark for large atomistic models</t>
        </is>
      </c>
      <c r="D6" s="5" t="inlineStr">
        <is>
          <t>2026</t>
        </is>
      </c>
      <c r="E6" s="5" t="inlineStr">
        <is>
          <t>Benchmark suite + study</t>
        </is>
      </c>
      <c r="F6" s="5" t="inlineStr">
        <is>
          <t>Core</t>
        </is>
      </c>
      <c r="G6" s="5" t="inlineStr">
        <is>
          <t>Benchmark suites and platforms</t>
        </is>
      </c>
      <c r="H6" s="5" t="inlineStr">
        <is>
          <t>Large atomistic models</t>
        </is>
      </c>
      <c r="I6" s="5" t="inlineStr">
        <is>
          <t>Large-model evaluation across atomistic tasks</t>
        </is>
      </c>
      <c r="J6" s="5" t="inlineStr"/>
      <c r="K6" s="5" t="inlineStr">
        <is>
          <t>Accuracy and task-specific metrics</t>
        </is>
      </c>
      <c r="L6" s="5" t="inlineStr">
        <is>
          <t>DFT / reference data (see paper)</t>
        </is>
      </c>
      <c r="M6" s="6" t="inlineStr">
        <is>
          <t>10.1038/s41524-025-01929-3</t>
        </is>
      </c>
      <c r="N6" s="7" t="inlineStr">
        <is>
          <t>https://www.nature.com/articles/s41524-025-01929-3</t>
        </is>
      </c>
      <c r="O6" s="5" t="inlineStr"/>
      <c r="P6" s="5" t="inlineStr"/>
      <c r="Q6" s="5" t="inlineStr">
        <is>
          <t>Yes</t>
        </is>
      </c>
      <c r="R6" s="5" t="inlineStr">
        <is>
          <t>Unknown</t>
        </is>
      </c>
      <c r="S6" s="8" t="inlineStr">
        <is>
          <t>Existing Zotero bibliography; normalized</t>
        </is>
      </c>
      <c r="T6" s="10" t="inlineStr">
        <is>
          <t>B</t>
        </is>
      </c>
      <c r="U6" s="8" t="inlineStr">
        <is>
          <t>2026-09-29</t>
        </is>
      </c>
      <c r="V6" s="5" t="inlineStr">
        <is>
          <t>Yes</t>
        </is>
      </c>
      <c r="W6" s="5" t="inlineStr">
        <is>
          <t>High</t>
        </is>
      </c>
      <c r="X6" s="5" t="inlineStr"/>
    </row>
    <row r="7">
      <c r="A7" s="5" t="inlineStr">
        <is>
          <t>N001</t>
        </is>
      </c>
      <c r="B7" s="5" t="inlineStr"/>
      <c r="C7" s="5" t="inlineStr">
        <is>
          <t>Structural benchmarks overlook density-of-states errors in machine-learned interatomic potentials</t>
        </is>
      </c>
      <c r="D7" s="5" t="inlineStr">
        <is>
          <t>2026</t>
        </is>
      </c>
      <c r="E7" s="5" t="inlineStr">
        <is>
          <t>Core benchmark study</t>
        </is>
      </c>
      <c r="F7" s="5" t="inlineStr">
        <is>
          <t>Core</t>
        </is>
      </c>
      <c r="G7" s="5" t="inlineStr">
        <is>
          <t>Downstream electronic properties</t>
        </is>
      </c>
      <c r="H7" s="5" t="inlineStr">
        <is>
          <t>Inorganic solids: oxides, iodides, alloys</t>
        </is>
      </c>
      <c r="I7" s="5" t="inlineStr">
        <is>
          <t>Structure relaxation; electronic DOS downstream validation</t>
        </is>
      </c>
      <c r="J7" s="5" t="inlineStr">
        <is>
          <t>Multiple universal MLIPs</t>
        </is>
      </c>
      <c r="K7" s="5" t="inlineStr">
        <is>
          <t>Structural error; DOS similarity/error; downstream electronic-property fidelity</t>
        </is>
      </c>
      <c r="L7" s="5" t="inlineStr">
        <is>
          <t>DFT</t>
        </is>
      </c>
      <c r="M7" s="6" t="inlineStr">
        <is>
          <t>10.1063/5.0339982</t>
        </is>
      </c>
      <c r="N7" s="7" t="inlineStr">
        <is>
          <t>https://doi.org/10.1063/5.0339982</t>
        </is>
      </c>
      <c r="O7" s="7" t="inlineStr">
        <is>
          <t>https://github.com/entropy4energy/2026-mlip-dos-benchmark</t>
        </is>
      </c>
      <c r="P7" s="7" t="inlineStr">
        <is>
          <t>https://doi.org/10.1063/5.0339982</t>
        </is>
      </c>
      <c r="Q7" s="5" t="inlineStr">
        <is>
          <t>Yes</t>
        </is>
      </c>
      <c r="R7" s="5" t="inlineStr">
        <is>
          <t>Yes</t>
        </is>
      </c>
      <c r="S7" s="8" t="inlineStr">
        <is>
          <t>New literature sweep; web-verified</t>
        </is>
      </c>
      <c r="T7" s="9" t="inlineStr">
        <is>
          <t>A</t>
        </is>
      </c>
      <c r="U7" s="8" t="inlineStr">
        <is>
          <t>2026-09-29</t>
        </is>
      </c>
      <c r="V7" s="5" t="inlineStr">
        <is>
          <t>No</t>
        </is>
      </c>
      <c r="W7" s="5" t="inlineStr">
        <is>
          <t>High</t>
        </is>
      </c>
      <c r="X7" s="5" t="inlineStr">
        <is>
          <t>Published 2026-09-23; demonstrates that structural agreement does not guarantee DOS fidelity.</t>
        </is>
      </c>
    </row>
    <row r="8">
      <c r="A8" s="5" t="inlineStr">
        <is>
          <t>N002</t>
        </is>
      </c>
      <c r="B8" s="5" t="inlineStr"/>
      <c r="C8" s="5" t="inlineStr">
        <is>
          <t>Benchmarking Machine-Learning Interatomic Potentials for Dynamical Stability in Inorganic Semiconductor Nanocrystals: A CdSe Case Study</t>
        </is>
      </c>
      <c r="D8" s="5" t="inlineStr">
        <is>
          <t>2026</t>
        </is>
      </c>
      <c r="E8" s="5" t="inlineStr">
        <is>
          <t>Core benchmark study</t>
        </is>
      </c>
      <c r="F8" s="5" t="inlineStr">
        <is>
          <t>Core</t>
        </is>
      </c>
      <c r="G8" s="5" t="inlineStr">
        <is>
          <t>Dynamics and finite temperature</t>
        </is>
      </c>
      <c r="H8" s="5" t="inlineStr">
        <is>
          <t>CdSe nanocrystals</t>
        </is>
      </c>
      <c r="I8" s="5" t="inlineStr">
        <is>
          <t>Long-time MD stability; uncertainty-guided active learning; runtime</t>
        </is>
      </c>
      <c r="J8" s="5" t="inlineStr">
        <is>
          <t>Five GNN MLIPs</t>
        </is>
      </c>
      <c r="K8" s="5" t="inlineStr">
        <is>
          <t>1 ns survival/stability; force error; uncertainty; runtime</t>
        </is>
      </c>
      <c r="L8" s="5" t="inlineStr">
        <is>
          <t>DFT / reference trajectories</t>
        </is>
      </c>
      <c r="M8" s="5" t="inlineStr"/>
      <c r="N8" s="7" t="inlineStr">
        <is>
          <t>https://arxiv.org/abs/2609.15299</t>
        </is>
      </c>
      <c r="O8" s="5" t="inlineStr"/>
      <c r="P8" s="5" t="inlineStr"/>
      <c r="Q8" s="5" t="inlineStr">
        <is>
          <t>No</t>
        </is>
      </c>
      <c r="R8" s="5" t="inlineStr">
        <is>
          <t>Unknown</t>
        </is>
      </c>
      <c r="S8" s="8" t="inlineStr">
        <is>
          <t>New literature sweep; web-verified</t>
        </is>
      </c>
      <c r="T8" s="9" t="inlineStr">
        <is>
          <t>A</t>
        </is>
      </c>
      <c r="U8" s="8" t="inlineStr">
        <is>
          <t>2026-09-29</t>
        </is>
      </c>
      <c r="V8" s="5" t="inlineStr">
        <is>
          <t>No</t>
        </is>
      </c>
      <c r="W8" s="5" t="inlineStr">
        <is>
          <t>High</t>
        </is>
      </c>
      <c r="X8" s="5" t="inlineStr">
        <is>
          <t>Submitted 2026-09-14; finite, surface-dominated nanocrystal stress test.</t>
        </is>
      </c>
    </row>
    <row r="9">
      <c r="A9" s="5" t="inlineStr">
        <is>
          <t>N031</t>
        </is>
      </c>
      <c r="B9" s="5" t="inlineStr"/>
      <c r="C9" s="5" t="inlineStr">
        <is>
          <t>MeltBench</t>
        </is>
      </c>
      <c r="D9" s="5" t="inlineStr">
        <is>
          <t>2026</t>
        </is>
      </c>
      <c r="E9" s="5" t="inlineStr">
        <is>
          <t>Benchmark suite/platform</t>
        </is>
      </c>
      <c r="F9" s="5" t="inlineStr">
        <is>
          <t>Core</t>
        </is>
      </c>
      <c r="G9" s="5" t="inlineStr">
        <is>
          <t>Dynamics and finite temperature</t>
        </is>
      </c>
      <c r="H9" s="5" t="inlineStr">
        <is>
          <t>Crystalline materials / melting</t>
        </is>
      </c>
      <c r="I9" s="5" t="inlineStr">
        <is>
          <t>Melting-point prediction with MLIPs</t>
        </is>
      </c>
      <c r="J9" s="5" t="inlineStr">
        <is>
          <t>Universal MLIPs</t>
        </is>
      </c>
      <c r="K9" s="5" t="inlineStr">
        <is>
          <t>Melting temperature; failure/stability; computational cost</t>
        </is>
      </c>
      <c r="L9" s="5" t="inlineStr">
        <is>
          <t>Experiment / reference simulations</t>
        </is>
      </c>
      <c r="M9" s="5" t="inlineStr"/>
      <c r="N9" s="7" t="inlineStr">
        <is>
          <t>https://jobs.sluschi-mapp.org/meltbench</t>
        </is>
      </c>
      <c r="O9" s="5" t="inlineStr"/>
      <c r="P9" s="5" t="inlineStr"/>
      <c r="Q9" s="5" t="inlineStr">
        <is>
          <t>No</t>
        </is>
      </c>
      <c r="R9" s="5" t="inlineStr">
        <is>
          <t>Unknown</t>
        </is>
      </c>
      <c r="S9" s="8" t="inlineStr">
        <is>
          <t>New literature sweep; web-verified</t>
        </is>
      </c>
      <c r="T9" s="9" t="inlineStr">
        <is>
          <t>A</t>
        </is>
      </c>
      <c r="U9" s="8" t="inlineStr">
        <is>
          <t>2026-09-29</t>
        </is>
      </c>
      <c r="V9" s="5" t="inlineStr">
        <is>
          <t>No</t>
        </is>
      </c>
      <c r="W9" s="5" t="inlineStr">
        <is>
          <t>High</t>
        </is>
      </c>
      <c r="X9" s="5" t="inlineStr">
        <is>
          <t>Open benchmark resource with MeltBench-10 and expansion toward larger suites.</t>
        </is>
      </c>
    </row>
    <row r="10">
      <c r="A10" s="5" t="inlineStr">
        <is>
          <t>E055</t>
        </is>
      </c>
      <c r="B10" s="5" t="inlineStr">
        <is>
          <t>JJ5P426W</t>
        </is>
      </c>
      <c r="C10" s="5" t="inlineStr">
        <is>
          <t>UniFFBench: evaluating universal machine learning force fields against experimental measurements</t>
        </is>
      </c>
      <c r="D10" s="5" t="inlineStr">
        <is>
          <t>2026</t>
        </is>
      </c>
      <c r="E10" s="5" t="inlineStr">
        <is>
          <t>Core benchmark study</t>
        </is>
      </c>
      <c r="F10" s="5" t="inlineStr">
        <is>
          <t>Core</t>
        </is>
      </c>
      <c r="G10" s="5" t="inlineStr">
        <is>
          <t>Experimental observables</t>
        </is>
      </c>
      <c r="H10" s="5" t="inlineStr">
        <is>
          <t>Broad materials</t>
        </is>
      </c>
      <c r="I10" s="5" t="inlineStr">
        <is>
          <t>MLFF validation against experimental measurements</t>
        </is>
      </c>
      <c r="J10" s="5" t="inlineStr"/>
      <c r="K10" s="5" t="inlineStr">
        <is>
          <t>Experiment-facing property errors</t>
        </is>
      </c>
      <c r="L10" s="5" t="inlineStr">
        <is>
          <t>DFT / reference data (see paper)</t>
        </is>
      </c>
      <c r="M10" s="6" t="inlineStr">
        <is>
          <t>10.1038/s43588-026-01019-4</t>
        </is>
      </c>
      <c r="N10" s="7" t="inlineStr">
        <is>
          <t>https://www.nature.com/articles/s43588-026-01019-4</t>
        </is>
      </c>
      <c r="O10" s="5" t="inlineStr"/>
      <c r="P10" s="5" t="inlineStr"/>
      <c r="Q10" s="5" t="inlineStr">
        <is>
          <t>Yes</t>
        </is>
      </c>
      <c r="R10" s="5" t="inlineStr">
        <is>
          <t>Unknown</t>
        </is>
      </c>
      <c r="S10" s="8" t="inlineStr">
        <is>
          <t>Existing Zotero bibliography; normalized</t>
        </is>
      </c>
      <c r="T10" s="10" t="inlineStr">
        <is>
          <t>B</t>
        </is>
      </c>
      <c r="U10" s="8" t="inlineStr">
        <is>
          <t>2026-09-29</t>
        </is>
      </c>
      <c r="V10" s="5" t="inlineStr">
        <is>
          <t>Yes</t>
        </is>
      </c>
      <c r="W10" s="5" t="inlineStr">
        <is>
          <t>High</t>
        </is>
      </c>
      <c r="X10" s="5" t="inlineStr"/>
    </row>
    <row r="11">
      <c r="A11" s="5" t="inlineStr">
        <is>
          <t>E004</t>
        </is>
      </c>
      <c r="B11" s="5" t="inlineStr">
        <is>
          <t>HKMYY76Y</t>
        </is>
      </c>
      <c r="C11" s="5" t="inlineStr">
        <is>
          <t>Benchmarking Compositional Generalisation for Machine Learning Interatomic Potentials</t>
        </is>
      </c>
      <c r="D11" s="5" t="inlineStr">
        <is>
          <t>2026</t>
        </is>
      </c>
      <c r="E11" s="5" t="inlineStr">
        <is>
          <t>Core benchmark study</t>
        </is>
      </c>
      <c r="F11" s="5" t="inlineStr">
        <is>
          <t>Core</t>
        </is>
      </c>
      <c r="G11" s="5" t="inlineStr">
        <is>
          <t>General and foundation MLIP evaluation</t>
        </is>
      </c>
      <c r="H11" s="5" t="inlineStr">
        <is>
          <t>Broad / mixed atomistic systems</t>
        </is>
      </c>
      <c r="I11" s="5" t="inlineStr">
        <is>
          <t>energy/force/stress accuracy</t>
        </is>
      </c>
      <c r="J11" s="5" t="inlineStr"/>
      <c r="K11" s="5" t="inlineStr">
        <is>
          <t>energy/force/stress MAE or RMSE</t>
        </is>
      </c>
      <c r="L11" s="5" t="inlineStr">
        <is>
          <t>DFT / reference data (see paper)</t>
        </is>
      </c>
      <c r="M11" s="5" t="inlineStr"/>
      <c r="N11" s="7" t="inlineStr">
        <is>
          <t>https://arxiv.org/abs/2605.08988v1</t>
        </is>
      </c>
      <c r="O11" s="5" t="inlineStr"/>
      <c r="P11" s="5" t="inlineStr"/>
      <c r="Q11" s="5" t="inlineStr">
        <is>
          <t>Unknown</t>
        </is>
      </c>
      <c r="R11" s="5" t="inlineStr">
        <is>
          <t>Unknown</t>
        </is>
      </c>
      <c r="S11" s="8" t="inlineStr">
        <is>
          <t>Existing Zotero bibliography; normalized</t>
        </is>
      </c>
      <c r="T11" s="10" t="inlineStr">
        <is>
          <t>B</t>
        </is>
      </c>
      <c r="U11" s="8" t="inlineStr">
        <is>
          <t>2026-09-29</t>
        </is>
      </c>
      <c r="V11" s="5" t="inlineStr">
        <is>
          <t>Yes</t>
        </is>
      </c>
      <c r="W11" s="5" t="inlineStr">
        <is>
          <t>Medium</t>
        </is>
      </c>
      <c r="X11" s="5" t="inlineStr"/>
    </row>
    <row r="12">
      <c r="A12" s="5" t="inlineStr">
        <is>
          <t>E070</t>
        </is>
      </c>
      <c r="B12" s="5" t="inlineStr">
        <is>
          <t>SK62D2Q3</t>
        </is>
      </c>
      <c r="C12" s="5" t="inlineStr">
        <is>
          <t>Benchmarking chemically scalable machine-learning interatomic potentials for large-scale simulations of multicomponent alloys</t>
        </is>
      </c>
      <c r="D12" s="5" t="inlineStr">
        <is>
          <t>2026</t>
        </is>
      </c>
      <c r="E12" s="5" t="inlineStr">
        <is>
          <t>Core benchmark study</t>
        </is>
      </c>
      <c r="F12" s="5" t="inlineStr">
        <is>
          <t>Core</t>
        </is>
      </c>
      <c r="G12" s="5" t="inlineStr">
        <is>
          <t>General and foundation MLIP evaluation</t>
        </is>
      </c>
      <c r="H12" s="5" t="inlineStr">
        <is>
          <t>Metals / alloys / elemental solids</t>
        </is>
      </c>
      <c r="I12" s="5" t="inlineStr">
        <is>
          <t>energy/force/stress accuracy</t>
        </is>
      </c>
      <c r="J12" s="5" t="inlineStr"/>
      <c r="K12" s="5" t="inlineStr">
        <is>
          <t>energy/force/stress MAE or RMSE</t>
        </is>
      </c>
      <c r="L12" s="5" t="inlineStr">
        <is>
          <t>DFT / reference data (see paper)</t>
        </is>
      </c>
      <c r="M12" s="6" t="inlineStr">
        <is>
          <t>10.1103/1qc9-ypyb</t>
        </is>
      </c>
      <c r="N12" s="7" t="inlineStr">
        <is>
          <t>https://link.aps.org/doi/10.1103/1qc9-ypyb</t>
        </is>
      </c>
      <c r="O12" s="5" t="inlineStr"/>
      <c r="P12" s="5" t="inlineStr"/>
      <c r="Q12" s="5" t="inlineStr">
        <is>
          <t>Yes</t>
        </is>
      </c>
      <c r="R12" s="5" t="inlineStr">
        <is>
          <t>Unknown</t>
        </is>
      </c>
      <c r="S12" s="8" t="inlineStr">
        <is>
          <t>Existing Zotero bibliography; normalized</t>
        </is>
      </c>
      <c r="T12" s="10" t="inlineStr">
        <is>
          <t>B</t>
        </is>
      </c>
      <c r="U12" s="8" t="inlineStr">
        <is>
          <t>2026-09-29</t>
        </is>
      </c>
      <c r="V12" s="5" t="inlineStr">
        <is>
          <t>Yes</t>
        </is>
      </c>
      <c r="W12" s="5" t="inlineStr">
        <is>
          <t>Medium</t>
        </is>
      </c>
      <c r="X12" s="5" t="inlineStr"/>
    </row>
    <row r="13">
      <c r="A13" s="5" t="inlineStr">
        <is>
          <t>E071</t>
        </is>
      </c>
      <c r="B13" s="5" t="inlineStr">
        <is>
          <t>8TNANSAV</t>
        </is>
      </c>
      <c r="C13" s="5" t="inlineStr">
        <is>
          <t>Benchmarking universal machine learning interatomic potentials on elemental systems</t>
        </is>
      </c>
      <c r="D13" s="5" t="inlineStr">
        <is>
          <t>2026</t>
        </is>
      </c>
      <c r="E13" s="5" t="inlineStr">
        <is>
          <t>Core benchmark study</t>
        </is>
      </c>
      <c r="F13" s="5" t="inlineStr">
        <is>
          <t>Core</t>
        </is>
      </c>
      <c r="G13" s="5" t="inlineStr">
        <is>
          <t>General and foundation MLIP evaluation</t>
        </is>
      </c>
      <c r="H13" s="5" t="inlineStr">
        <is>
          <t>Metals / alloys / elemental solids</t>
        </is>
      </c>
      <c r="I13" s="5" t="inlineStr">
        <is>
          <t>energy/force/stress accuracy</t>
        </is>
      </c>
      <c r="J13" s="5" t="inlineStr"/>
      <c r="K13" s="5" t="inlineStr">
        <is>
          <t>energy/force/stress MAE or RMSE</t>
        </is>
      </c>
      <c r="L13" s="5" t="inlineStr">
        <is>
          <t>DFT / reference data (see paper)</t>
        </is>
      </c>
      <c r="M13" s="6" t="inlineStr">
        <is>
          <t>10.1038/s41524-026-02251-2</t>
        </is>
      </c>
      <c r="N13" s="7" t="inlineStr">
        <is>
          <t>https://www.nature.com/articles/s41524-026-02251-2</t>
        </is>
      </c>
      <c r="O13" s="5" t="inlineStr"/>
      <c r="P13" s="5" t="inlineStr"/>
      <c r="Q13" s="5" t="inlineStr">
        <is>
          <t>Yes</t>
        </is>
      </c>
      <c r="R13" s="5" t="inlineStr">
        <is>
          <t>Unknown</t>
        </is>
      </c>
      <c r="S13" s="8" t="inlineStr">
        <is>
          <t>Existing Zotero bibliography; normalized</t>
        </is>
      </c>
      <c r="T13" s="10" t="inlineStr">
        <is>
          <t>B</t>
        </is>
      </c>
      <c r="U13" s="8" t="inlineStr">
        <is>
          <t>2026-09-29</t>
        </is>
      </c>
      <c r="V13" s="5" t="inlineStr">
        <is>
          <t>Yes</t>
        </is>
      </c>
      <c r="W13" s="5" t="inlineStr">
        <is>
          <t>Medium</t>
        </is>
      </c>
      <c r="X13" s="5" t="inlineStr"/>
    </row>
    <row r="14">
      <c r="A14" s="5" t="inlineStr">
        <is>
          <t>E049</t>
        </is>
      </c>
      <c r="B14" s="5" t="inlineStr">
        <is>
          <t>BYMVNIQR</t>
        </is>
      </c>
      <c r="C14" s="5" t="inlineStr">
        <is>
          <t>Dyna-Mat: End-to-end benchmarking of foundation machine learning interatomic potentials in finite-temperature ensembles</t>
        </is>
      </c>
      <c r="D14" s="5" t="inlineStr">
        <is>
          <t>2026</t>
        </is>
      </c>
      <c r="E14" s="5" t="inlineStr">
        <is>
          <t>Core benchmark study</t>
        </is>
      </c>
      <c r="F14" s="5" t="inlineStr">
        <is>
          <t>Core</t>
        </is>
      </c>
      <c r="G14" s="5" t="inlineStr">
        <is>
          <t>General and foundation MLIP evaluation</t>
        </is>
      </c>
      <c r="H14" s="5" t="inlineStr">
        <is>
          <t>Broad / mixed atomistic systems</t>
        </is>
      </c>
      <c r="I14" s="5" t="inlineStr">
        <is>
          <t>energy/force/stress accuracy; molecular dynamics / stability</t>
        </is>
      </c>
      <c r="J14" s="5" t="inlineStr"/>
      <c r="K14" s="5" t="inlineStr">
        <is>
          <t>energy/force/stress MAE or RMSE; trajectory stability / physical observables</t>
        </is>
      </c>
      <c r="L14" s="5" t="inlineStr">
        <is>
          <t>DFT / reference data (see paper)</t>
        </is>
      </c>
      <c r="M14" s="6" t="inlineStr">
        <is>
          <t>10.48550/arXiv.2607.03433</t>
        </is>
      </c>
      <c r="N14" s="7" t="inlineStr">
        <is>
          <t>http://arxiv.org/abs/2607.03433</t>
        </is>
      </c>
      <c r="O14" s="5" t="inlineStr"/>
      <c r="P14" s="5" t="inlineStr"/>
      <c r="Q14" s="5" t="inlineStr">
        <is>
          <t>No</t>
        </is>
      </c>
      <c r="R14" s="5" t="inlineStr">
        <is>
          <t>Unknown</t>
        </is>
      </c>
      <c r="S14" s="8" t="inlineStr">
        <is>
          <t>Existing Zotero bibliography; normalized</t>
        </is>
      </c>
      <c r="T14" s="10" t="inlineStr">
        <is>
          <t>B</t>
        </is>
      </c>
      <c r="U14" s="8" t="inlineStr">
        <is>
          <t>2026-09-29</t>
        </is>
      </c>
      <c r="V14" s="5" t="inlineStr">
        <is>
          <t>Yes</t>
        </is>
      </c>
      <c r="W14" s="5" t="inlineStr">
        <is>
          <t>Medium</t>
        </is>
      </c>
      <c r="X14" s="5" t="inlineStr"/>
    </row>
    <row r="15">
      <c r="A15" s="5" t="inlineStr">
        <is>
          <t>N008</t>
        </is>
      </c>
      <c r="B15" s="5" t="inlineStr"/>
      <c r="C15" s="5" t="inlineStr">
        <is>
          <t>Origin of the machine learning forces field errors across metal elements</t>
        </is>
      </c>
      <c r="D15" s="5" t="inlineStr">
        <is>
          <t>2026</t>
        </is>
      </c>
      <c r="E15" s="5" t="inlineStr">
        <is>
          <t>Core benchmark study</t>
        </is>
      </c>
      <c r="F15" s="5" t="inlineStr">
        <is>
          <t>Core</t>
        </is>
      </c>
      <c r="G15" s="5" t="inlineStr">
        <is>
          <t>General and foundation MLIP evaluation</t>
        </is>
      </c>
      <c r="H15" s="5" t="inlineStr">
        <is>
          <t>43 metallic elements (Metal-43)</t>
        </is>
      </c>
      <c r="I15" s="5" t="inlineStr">
        <is>
          <t>Element-wise fitting difficulty; PES complexity</t>
        </is>
      </c>
      <c r="J15" s="5" t="inlineStr">
        <is>
          <t>NEP; DeePMD; MACE; ORB</t>
        </is>
      </c>
      <c r="K15" s="5" t="inlineStr">
        <is>
          <t>Force RMSE; relative force error; periodic trends</t>
        </is>
      </c>
      <c r="L15" s="5" t="inlineStr">
        <is>
          <t>DFT</t>
        </is>
      </c>
      <c r="M15" s="6" t="inlineStr">
        <is>
          <t>10.1038/s41524-026-01977-3</t>
        </is>
      </c>
      <c r="N15" s="7" t="inlineStr">
        <is>
          <t>https://doi.org/10.1038/s41524-026-01977-3</t>
        </is>
      </c>
      <c r="O15" s="5" t="inlineStr"/>
      <c r="P15" s="5" t="inlineStr"/>
      <c r="Q15" s="5" t="inlineStr">
        <is>
          <t>Yes</t>
        </is>
      </c>
      <c r="R15" s="5" t="inlineStr">
        <is>
          <t>Unknown</t>
        </is>
      </c>
      <c r="S15" s="8" t="inlineStr">
        <is>
          <t>New literature sweep; web-verified</t>
        </is>
      </c>
      <c r="T15" s="9" t="inlineStr">
        <is>
          <t>A</t>
        </is>
      </c>
      <c r="U15" s="8" t="inlineStr">
        <is>
          <t>2026-09-29</t>
        </is>
      </c>
      <c r="V15" s="5" t="inlineStr">
        <is>
          <t>No</t>
        </is>
      </c>
      <c r="W15" s="5" t="inlineStr">
        <is>
          <t>High</t>
        </is>
      </c>
      <c r="X15" s="5" t="inlineStr">
        <is>
          <t>Metal-43 exposes strongly element-dependent intrinsic fitting difficulty.</t>
        </is>
      </c>
    </row>
    <row r="16">
      <c r="A16" s="5" t="inlineStr">
        <is>
          <t>E069</t>
        </is>
      </c>
      <c r="B16" s="5" t="inlineStr">
        <is>
          <t>TRMP2EJA</t>
        </is>
      </c>
      <c r="C16" s="5" t="inlineStr">
        <is>
          <t>Benchmark of machine learning force fields for silica zeolites</t>
        </is>
      </c>
      <c r="D16" s="5" t="inlineStr">
        <is>
          <t>2026</t>
        </is>
      </c>
      <c r="E16" s="5" t="inlineStr">
        <is>
          <t>Core benchmark study</t>
        </is>
      </c>
      <c r="F16" s="5" t="inlineStr">
        <is>
          <t>Core</t>
        </is>
      </c>
      <c r="G16" s="5" t="inlineStr">
        <is>
          <t>MOFs, zeolites and molecular crystals</t>
        </is>
      </c>
      <c r="H16" s="5" t="inlineStr">
        <is>
          <t>Zeolites</t>
        </is>
      </c>
      <c r="I16" s="5" t="inlineStr">
        <is>
          <t>energy/force/stress accuracy</t>
        </is>
      </c>
      <c r="J16" s="5" t="inlineStr"/>
      <c r="K16" s="5" t="inlineStr">
        <is>
          <t>energy/force/stress MAE or RMSE</t>
        </is>
      </c>
      <c r="L16" s="5" t="inlineStr">
        <is>
          <t>DFT / reference data (see paper)</t>
        </is>
      </c>
      <c r="M16" s="6" t="inlineStr">
        <is>
          <t>10.1016/j.micromeso.2026.114157</t>
        </is>
      </c>
      <c r="N16" s="7" t="inlineStr">
        <is>
          <t>https://www.sciencedirect.com/science/article/pii/S1387181126001320</t>
        </is>
      </c>
      <c r="O16" s="5" t="inlineStr"/>
      <c r="P16" s="5" t="inlineStr"/>
      <c r="Q16" s="5" t="inlineStr">
        <is>
          <t>Yes</t>
        </is>
      </c>
      <c r="R16" s="5" t="inlineStr">
        <is>
          <t>Unknown</t>
        </is>
      </c>
      <c r="S16" s="8" t="inlineStr">
        <is>
          <t>Existing Zotero bibliography; normalized</t>
        </is>
      </c>
      <c r="T16" s="10" t="inlineStr">
        <is>
          <t>B</t>
        </is>
      </c>
      <c r="U16" s="8" t="inlineStr">
        <is>
          <t>2026-09-29</t>
        </is>
      </c>
      <c r="V16" s="5" t="inlineStr">
        <is>
          <t>Yes</t>
        </is>
      </c>
      <c r="W16" s="5" t="inlineStr">
        <is>
          <t>Medium</t>
        </is>
      </c>
      <c r="X16" s="5" t="inlineStr"/>
    </row>
    <row r="17">
      <c r="A17" s="5" t="inlineStr">
        <is>
          <t>E007</t>
        </is>
      </c>
      <c r="B17" s="5" t="inlineStr">
        <is>
          <t>MWB4TJR9</t>
        </is>
      </c>
      <c r="C17" s="5" t="inlineStr">
        <is>
          <t>Benchmarking Universal Interatomic Potentials on Zeolite</t>
        </is>
      </c>
      <c r="D17" s="5" t="inlineStr">
        <is>
          <t>2026</t>
        </is>
      </c>
      <c r="E17" s="5" t="inlineStr">
        <is>
          <t>Core benchmark study</t>
        </is>
      </c>
      <c r="F17" s="5" t="inlineStr">
        <is>
          <t>Core</t>
        </is>
      </c>
      <c r="G17" s="5" t="inlineStr">
        <is>
          <t>MOFs, zeolites and molecular crystals</t>
        </is>
      </c>
      <c r="H17" s="5" t="inlineStr">
        <is>
          <t>Zeolites</t>
        </is>
      </c>
      <c r="I17" s="5" t="inlineStr">
        <is>
          <t>energy/force/stress accuracy</t>
        </is>
      </c>
      <c r="J17" s="5" t="inlineStr"/>
      <c r="K17" s="5" t="inlineStr">
        <is>
          <t>energy/force/stress MAE or RMSE</t>
        </is>
      </c>
      <c r="L17" s="5" t="inlineStr">
        <is>
          <t>DFT / reference data (see paper)</t>
        </is>
      </c>
      <c r="M17" s="6" t="inlineStr">
        <is>
          <t>10.1021/acs.jpcc.5c06812</t>
        </is>
      </c>
      <c r="N17" s="7" t="inlineStr">
        <is>
          <t>https://doi.org/10.1021/acs.jpcc.5c06812</t>
        </is>
      </c>
      <c r="O17" s="5" t="inlineStr"/>
      <c r="P17" s="5" t="inlineStr"/>
      <c r="Q17" s="5" t="inlineStr">
        <is>
          <t>Yes</t>
        </is>
      </c>
      <c r="R17" s="5" t="inlineStr">
        <is>
          <t>Unknown</t>
        </is>
      </c>
      <c r="S17" s="8" t="inlineStr">
        <is>
          <t>Existing Zotero bibliography; normalized</t>
        </is>
      </c>
      <c r="T17" s="10" t="inlineStr">
        <is>
          <t>B</t>
        </is>
      </c>
      <c r="U17" s="8" t="inlineStr">
        <is>
          <t>2026-09-29</t>
        </is>
      </c>
      <c r="V17" s="5" t="inlineStr">
        <is>
          <t>Yes</t>
        </is>
      </c>
      <c r="W17" s="5" t="inlineStr">
        <is>
          <t>Medium</t>
        </is>
      </c>
      <c r="X17" s="5" t="inlineStr"/>
    </row>
    <row r="18">
      <c r="A18" s="5" t="inlineStr">
        <is>
          <t>E090</t>
        </is>
      </c>
      <c r="B18" s="5" t="inlineStr">
        <is>
          <t>5CM85PG9</t>
        </is>
      </c>
      <c r="C18" s="5" t="inlineStr">
        <is>
          <t>OMC-bench and AtomBit-OMC: task-aligned benchmarks and robust, interpretable machine-learned interatomic potentials for organic molecular crystals</t>
        </is>
      </c>
      <c r="D18" s="5" t="inlineStr">
        <is>
          <t>2026</t>
        </is>
      </c>
      <c r="E18" s="5" t="inlineStr">
        <is>
          <t>Benchmark suite + study</t>
        </is>
      </c>
      <c r="F18" s="5" t="inlineStr">
        <is>
          <t>Core</t>
        </is>
      </c>
      <c r="G18" s="5" t="inlineStr">
        <is>
          <t>MOFs, zeolites and molecular crystals</t>
        </is>
      </c>
      <c r="H18" s="5" t="inlineStr">
        <is>
          <t>Organic molecular crystals</t>
        </is>
      </c>
      <c r="I18" s="5" t="inlineStr">
        <is>
          <t>OOD force/stress; lattice dynamics; cocrystal relaxation; polymorph ranking</t>
        </is>
      </c>
      <c r="J18" s="5" t="inlineStr"/>
      <c r="K18" s="5" t="inlineStr">
        <is>
          <t>Force/stress errors; recovery failure; ranking metrics</t>
        </is>
      </c>
      <c r="L18" s="5" t="inlineStr">
        <is>
          <t>DFT / reference data (see paper)</t>
        </is>
      </c>
      <c r="M18" s="6" t="inlineStr">
        <is>
          <t>10.1038/s41524-026-02315-3</t>
        </is>
      </c>
      <c r="N18" s="7" t="inlineStr">
        <is>
          <t>https://www.nature.com/articles/s41524-026-02315-3</t>
        </is>
      </c>
      <c r="O18" s="5" t="inlineStr"/>
      <c r="P18" s="5" t="inlineStr"/>
      <c r="Q18" s="5" t="inlineStr">
        <is>
          <t>Yes</t>
        </is>
      </c>
      <c r="R18" s="5" t="inlineStr">
        <is>
          <t>Unknown</t>
        </is>
      </c>
      <c r="S18" s="8" t="inlineStr">
        <is>
          <t>Existing Zotero bibliography; normalized</t>
        </is>
      </c>
      <c r="T18" s="10" t="inlineStr">
        <is>
          <t>B</t>
        </is>
      </c>
      <c r="U18" s="8" t="inlineStr">
        <is>
          <t>2026-09-29</t>
        </is>
      </c>
      <c r="V18" s="5" t="inlineStr">
        <is>
          <t>Yes</t>
        </is>
      </c>
      <c r="W18" s="5" t="inlineStr">
        <is>
          <t>High</t>
        </is>
      </c>
      <c r="X18" s="5" t="inlineStr"/>
    </row>
    <row r="19">
      <c r="A19" s="5" t="inlineStr">
        <is>
          <t>E076</t>
        </is>
      </c>
      <c r="B19" s="5" t="inlineStr">
        <is>
          <t>ER2QR6BA</t>
        </is>
      </c>
      <c r="C19" s="5" t="inlineStr">
        <is>
          <t>Evaluating mechanical property prediction across material classes using molecular dynamics simulations with universal machine-learned interatomic potentials</t>
        </is>
      </c>
      <c r="D19" s="5" t="inlineStr">
        <is>
          <t>2026</t>
        </is>
      </c>
      <c r="E19" s="5" t="inlineStr">
        <is>
          <t>Core benchmark study</t>
        </is>
      </c>
      <c r="F19" s="5" t="inlineStr">
        <is>
          <t>Core</t>
        </is>
      </c>
      <c r="G19" s="5" t="inlineStr">
        <is>
          <t>Mechanical and elastic properties</t>
        </is>
      </c>
      <c r="H19" s="5" t="inlineStr">
        <is>
          <t>Molecular / chemical systems</t>
        </is>
      </c>
      <c r="I19" s="5" t="inlineStr">
        <is>
          <t>molecular dynamics / stability</t>
        </is>
      </c>
      <c r="J19" s="5" t="inlineStr"/>
      <c r="K19" s="5" t="inlineStr">
        <is>
          <t>trajectory stability / physical observables</t>
        </is>
      </c>
      <c r="L19" s="5" t="inlineStr">
        <is>
          <t>DFT / reference data (see paper)</t>
        </is>
      </c>
      <c r="M19" s="6" t="inlineStr">
        <is>
          <t>10.1038/s42004-026-02057-9</t>
        </is>
      </c>
      <c r="N19" s="7" t="inlineStr">
        <is>
          <t>https://www.nature.com/articles/s42004-026-02057-9</t>
        </is>
      </c>
      <c r="O19" s="5" t="inlineStr"/>
      <c r="P19" s="5" t="inlineStr"/>
      <c r="Q19" s="5" t="inlineStr">
        <is>
          <t>Yes</t>
        </is>
      </c>
      <c r="R19" s="5" t="inlineStr">
        <is>
          <t>Unknown</t>
        </is>
      </c>
      <c r="S19" s="8" t="inlineStr">
        <is>
          <t>Existing Zotero bibliography; normalized</t>
        </is>
      </c>
      <c r="T19" s="10" t="inlineStr">
        <is>
          <t>B</t>
        </is>
      </c>
      <c r="U19" s="8" t="inlineStr">
        <is>
          <t>2026-09-29</t>
        </is>
      </c>
      <c r="V19" s="5" t="inlineStr">
        <is>
          <t>Yes</t>
        </is>
      </c>
      <c r="W19" s="5" t="inlineStr">
        <is>
          <t>Medium</t>
        </is>
      </c>
      <c r="X19" s="5" t="inlineStr"/>
    </row>
    <row r="20">
      <c r="A20" s="5" t="inlineStr">
        <is>
          <t>E062</t>
        </is>
      </c>
      <c r="B20" s="5" t="inlineStr">
        <is>
          <t>8R8G4ZBB</t>
        </is>
      </c>
      <c r="C20" s="5" t="inlineStr">
        <is>
          <t>Are Machine Learning Interatomic Potentials Truly Practical? A Benchmark of 23 Mainstream Models</t>
        </is>
      </c>
      <c r="D20" s="5" t="inlineStr">
        <is>
          <t>2026</t>
        </is>
      </c>
      <c r="E20" s="5" t="inlineStr">
        <is>
          <t>Core benchmark study</t>
        </is>
      </c>
      <c r="F20" s="5" t="inlineStr">
        <is>
          <t>Core</t>
        </is>
      </c>
      <c r="G20" s="5" t="inlineStr">
        <is>
          <t>Methodology, reliability and efficiency</t>
        </is>
      </c>
      <c r="H20" s="5" t="inlineStr">
        <is>
          <t>Broad / mixed atomistic systems</t>
        </is>
      </c>
      <c r="I20" s="5" t="inlineStr">
        <is>
          <t>energy/force/stress accuracy; efficiency / scaling</t>
        </is>
      </c>
      <c r="J20" s="5" t="inlineStr"/>
      <c r="K20" s="5" t="inlineStr">
        <is>
          <t>energy/force/stress MAE or RMSE; throughput / runtime / memory</t>
        </is>
      </c>
      <c r="L20" s="5" t="inlineStr">
        <is>
          <t>DFT / reference data (see paper)</t>
        </is>
      </c>
      <c r="M20" s="6" t="inlineStr">
        <is>
          <t>10.48550/arXiv.2607.07647</t>
        </is>
      </c>
      <c r="N20" s="7" t="inlineStr">
        <is>
          <t>http://arxiv.org/abs/2607.07647</t>
        </is>
      </c>
      <c r="O20" s="5" t="inlineStr"/>
      <c r="P20" s="5" t="inlineStr"/>
      <c r="Q20" s="5" t="inlineStr">
        <is>
          <t>No</t>
        </is>
      </c>
      <c r="R20" s="5" t="inlineStr">
        <is>
          <t>Unknown</t>
        </is>
      </c>
      <c r="S20" s="8" t="inlineStr">
        <is>
          <t>Existing Zotero bibliography; normalized</t>
        </is>
      </c>
      <c r="T20" s="10" t="inlineStr">
        <is>
          <t>B</t>
        </is>
      </c>
      <c r="U20" s="8" t="inlineStr">
        <is>
          <t>2026-09-29</t>
        </is>
      </c>
      <c r="V20" s="5" t="inlineStr">
        <is>
          <t>Yes</t>
        </is>
      </c>
      <c r="W20" s="5" t="inlineStr">
        <is>
          <t>Medium</t>
        </is>
      </c>
      <c r="X20" s="5" t="inlineStr"/>
    </row>
    <row r="21">
      <c r="A21" s="5" t="inlineStr">
        <is>
          <t>E080</t>
        </is>
      </c>
      <c r="B21" s="5" t="inlineStr">
        <is>
          <t>7IZSWD47</t>
        </is>
      </c>
      <c r="C21" s="5" t="inlineStr">
        <is>
          <t>FPBench: Application-Oriented Error Decomposition for Foundation Potentials</t>
        </is>
      </c>
      <c r="D21" s="5" t="inlineStr">
        <is>
          <t>2026</t>
        </is>
      </c>
      <c r="E21" s="5" t="inlineStr">
        <is>
          <t>Benchmark suite + study</t>
        </is>
      </c>
      <c r="F21" s="5" t="inlineStr">
        <is>
          <t>Core</t>
        </is>
      </c>
      <c r="G21" s="5" t="inlineStr">
        <is>
          <t>Methodology, reliability and efficiency</t>
        </is>
      </c>
      <c r="H21" s="5" t="inlineStr">
        <is>
          <t>Multiple materials tasks</t>
        </is>
      </c>
      <c r="I21" s="5" t="inlineStr">
        <is>
          <t>Force decomposition; energy ranking; ion/vacancy migration</t>
        </is>
      </c>
      <c r="J21" s="5" t="inlineStr"/>
      <c r="K21" s="5" t="inlineStr">
        <is>
          <t>Error-decomposition metrics by application-relevant component</t>
        </is>
      </c>
      <c r="L21" s="5" t="inlineStr">
        <is>
          <t>DFT / reference data (see paper)</t>
        </is>
      </c>
      <c r="M21" s="6" t="inlineStr">
        <is>
          <t>10.48550/arXiv.2609.05714</t>
        </is>
      </c>
      <c r="N21" s="7" t="inlineStr">
        <is>
          <t>http://arxiv.org/abs/2609.05714</t>
        </is>
      </c>
      <c r="O21" s="5" t="inlineStr"/>
      <c r="P21" s="5" t="inlineStr"/>
      <c r="Q21" s="5" t="inlineStr">
        <is>
          <t>No</t>
        </is>
      </c>
      <c r="R21" s="5" t="inlineStr">
        <is>
          <t>Unknown</t>
        </is>
      </c>
      <c r="S21" s="8" t="inlineStr">
        <is>
          <t>Existing Zotero bibliography; normalized</t>
        </is>
      </c>
      <c r="T21" s="10" t="inlineStr">
        <is>
          <t>B</t>
        </is>
      </c>
      <c r="U21" s="8" t="inlineStr">
        <is>
          <t>2026-09-29</t>
        </is>
      </c>
      <c r="V21" s="5" t="inlineStr">
        <is>
          <t>Yes</t>
        </is>
      </c>
      <c r="W21" s="5" t="inlineStr">
        <is>
          <t>High</t>
        </is>
      </c>
      <c r="X21" s="5" t="inlineStr"/>
    </row>
    <row r="22">
      <c r="A22" s="5" t="inlineStr">
        <is>
          <t>E065</t>
        </is>
      </c>
      <c r="B22" s="5" t="inlineStr">
        <is>
          <t>TPN3Z6MI</t>
        </is>
      </c>
      <c r="C22" s="5" t="inlineStr">
        <is>
          <t>Accuracy and Efficiency Benchmarks of Pretrained Machine Learning Potentials for Molecular Simulations</t>
        </is>
      </c>
      <c r="D22" s="5" t="inlineStr">
        <is>
          <t>2026</t>
        </is>
      </c>
      <c r="E22" s="5" t="inlineStr">
        <is>
          <t>Core benchmark study</t>
        </is>
      </c>
      <c r="F22" s="5" t="inlineStr">
        <is>
          <t>Core</t>
        </is>
      </c>
      <c r="G22" s="5" t="inlineStr">
        <is>
          <t>Molecules, reactions and chemical kinetics</t>
        </is>
      </c>
      <c r="H22" s="5" t="inlineStr">
        <is>
          <t>Molecular / chemical systems</t>
        </is>
      </c>
      <c r="I22" s="5" t="inlineStr">
        <is>
          <t>energy/force/stress accuracy; molecular dynamics / stability; efficiency / scaling</t>
        </is>
      </c>
      <c r="J22" s="5" t="inlineStr"/>
      <c r="K22" s="5" t="inlineStr">
        <is>
          <t>energy/force/stress MAE or RMSE; trajectory stability / physical observables; throughput / runtime / memory</t>
        </is>
      </c>
      <c r="L22" s="5" t="inlineStr">
        <is>
          <t>DFT / reference data (see paper)</t>
        </is>
      </c>
      <c r="M22" s="6" t="inlineStr">
        <is>
          <t>10.1021/acs.jctc.6c00130</t>
        </is>
      </c>
      <c r="N22" s="7" t="inlineStr">
        <is>
          <t>https://doi.org/10.1021/acs.jctc.6c00130</t>
        </is>
      </c>
      <c r="O22" s="5" t="inlineStr"/>
      <c r="P22" s="5" t="inlineStr"/>
      <c r="Q22" s="5" t="inlineStr">
        <is>
          <t>Yes</t>
        </is>
      </c>
      <c r="R22" s="5" t="inlineStr">
        <is>
          <t>Unknown</t>
        </is>
      </c>
      <c r="S22" s="8" t="inlineStr">
        <is>
          <t>Existing Zotero bibliography; normalized</t>
        </is>
      </c>
      <c r="T22" s="10" t="inlineStr">
        <is>
          <t>B</t>
        </is>
      </c>
      <c r="U22" s="8" t="inlineStr">
        <is>
          <t>2026-09-29</t>
        </is>
      </c>
      <c r="V22" s="5" t="inlineStr">
        <is>
          <t>Yes</t>
        </is>
      </c>
      <c r="W22" s="5" t="inlineStr">
        <is>
          <t>Medium</t>
        </is>
      </c>
      <c r="X22" s="5" t="inlineStr"/>
    </row>
    <row r="23">
      <c r="A23" s="5" t="inlineStr">
        <is>
          <t>E066</t>
        </is>
      </c>
      <c r="B23" s="5" t="inlineStr">
        <is>
          <t>CSBRU8M2</t>
        </is>
      </c>
      <c r="C23" s="5" t="inlineStr">
        <is>
          <t>Benchmarking Foundation Potentials against Quantum Chemistry Methods for Predicting Molecular Redox Potentials</t>
        </is>
      </c>
      <c r="D23" s="5" t="inlineStr">
        <is>
          <t>2026</t>
        </is>
      </c>
      <c r="E23" s="5" t="inlineStr">
        <is>
          <t>Core benchmark study</t>
        </is>
      </c>
      <c r="F23" s="5" t="inlineStr">
        <is>
          <t>Core</t>
        </is>
      </c>
      <c r="G23" s="5" t="inlineStr">
        <is>
          <t>Molecules, reactions and chemical kinetics</t>
        </is>
      </c>
      <c r="H23" s="5" t="inlineStr">
        <is>
          <t>Molecular / chemical systems</t>
        </is>
      </c>
      <c r="I23" s="5" t="inlineStr">
        <is>
          <t>energy/force/stress accuracy</t>
        </is>
      </c>
      <c r="J23" s="5" t="inlineStr"/>
      <c r="K23" s="5" t="inlineStr">
        <is>
          <t>energy/force/stress MAE or RMSE</t>
        </is>
      </c>
      <c r="L23" s="5" t="inlineStr">
        <is>
          <t>DFT / reference data (see paper)</t>
        </is>
      </c>
      <c r="M23" s="6" t="inlineStr">
        <is>
          <t>10.1021/prechem.5c00258</t>
        </is>
      </c>
      <c r="N23" s="7" t="inlineStr">
        <is>
          <t>https://doi.org/10.1021/prechem.5c00258</t>
        </is>
      </c>
      <c r="O23" s="5" t="inlineStr"/>
      <c r="P23" s="5" t="inlineStr"/>
      <c r="Q23" s="5" t="inlineStr">
        <is>
          <t>Yes</t>
        </is>
      </c>
      <c r="R23" s="5" t="inlineStr">
        <is>
          <t>Unknown</t>
        </is>
      </c>
      <c r="S23" s="8" t="inlineStr">
        <is>
          <t>Existing Zotero bibliography; normalized</t>
        </is>
      </c>
      <c r="T23" s="10" t="inlineStr">
        <is>
          <t>B</t>
        </is>
      </c>
      <c r="U23" s="8" t="inlineStr">
        <is>
          <t>2026-09-29</t>
        </is>
      </c>
      <c r="V23" s="5" t="inlineStr">
        <is>
          <t>Yes</t>
        </is>
      </c>
      <c r="W23" s="5" t="inlineStr">
        <is>
          <t>Medium</t>
        </is>
      </c>
      <c r="X23" s="5" t="inlineStr"/>
    </row>
    <row r="24">
      <c r="A24" s="5" t="inlineStr">
        <is>
          <t>E048</t>
        </is>
      </c>
      <c r="B24" s="5" t="inlineStr">
        <is>
          <t>DSJPEKMV</t>
        </is>
      </c>
      <c r="C24" s="5" t="inlineStr">
        <is>
          <t>Benchmarking the UMA Foundation Interatomic Potential for Gas-Phase Chemical Kinetics</t>
        </is>
      </c>
      <c r="D24" s="5" t="inlineStr">
        <is>
          <t>2026</t>
        </is>
      </c>
      <c r="E24" s="5" t="inlineStr">
        <is>
          <t>Core benchmark study</t>
        </is>
      </c>
      <c r="F24" s="5" t="inlineStr">
        <is>
          <t>Core</t>
        </is>
      </c>
      <c r="G24" s="5" t="inlineStr">
        <is>
          <t>Molecules, reactions and chemical kinetics</t>
        </is>
      </c>
      <c r="H24" s="5" t="inlineStr">
        <is>
          <t>Broad / mixed atomistic systems</t>
        </is>
      </c>
      <c r="I24" s="5" t="inlineStr">
        <is>
          <t>energy/force/stress accuracy</t>
        </is>
      </c>
      <c r="J24" s="5" t="inlineStr"/>
      <c r="K24" s="5" t="inlineStr">
        <is>
          <t>energy/force/stress MAE or RMSE</t>
        </is>
      </c>
      <c r="L24" s="5" t="inlineStr">
        <is>
          <t>DFT / reference data (see paper)</t>
        </is>
      </c>
      <c r="M24" s="6" t="inlineStr">
        <is>
          <t>10.1021/acs.jpca.6c01748</t>
        </is>
      </c>
      <c r="N24" s="7" t="inlineStr">
        <is>
          <t>https://doi.org/10.1021/acs.jpca.6c01748</t>
        </is>
      </c>
      <c r="O24" s="5" t="inlineStr"/>
      <c r="P24" s="5" t="inlineStr"/>
      <c r="Q24" s="5" t="inlineStr">
        <is>
          <t>Yes</t>
        </is>
      </c>
      <c r="R24" s="5" t="inlineStr">
        <is>
          <t>Unknown</t>
        </is>
      </c>
      <c r="S24" s="8" t="inlineStr">
        <is>
          <t>Existing Zotero bibliography; normalized</t>
        </is>
      </c>
      <c r="T24" s="10" t="inlineStr">
        <is>
          <t>B</t>
        </is>
      </c>
      <c r="U24" s="8" t="inlineStr">
        <is>
          <t>2026-09-29</t>
        </is>
      </c>
      <c r="V24" s="5" t="inlineStr">
        <is>
          <t>Yes</t>
        </is>
      </c>
      <c r="W24" s="5" t="inlineStr">
        <is>
          <t>Medium</t>
        </is>
      </c>
      <c r="X24" s="5" t="inlineStr"/>
    </row>
    <row r="25">
      <c r="A25" s="5" t="inlineStr">
        <is>
          <t>N003</t>
        </is>
      </c>
      <c r="B25" s="5" t="inlineStr"/>
      <c r="C25" s="5" t="inlineStr">
        <is>
          <t>Vibrational power spectra as a tool to benchmark universal machine-learning interatomic potentials for molecular systems: the OMOL-1k-MD data set</t>
        </is>
      </c>
      <c r="D25" s="5" t="inlineStr">
        <is>
          <t>2026</t>
        </is>
      </c>
      <c r="E25" s="5" t="inlineStr">
        <is>
          <t>Benchmark dataset + study</t>
        </is>
      </c>
      <c r="F25" s="5" t="inlineStr">
        <is>
          <t>Core</t>
        </is>
      </c>
      <c r="G25" s="5" t="inlineStr">
        <is>
          <t>Phonons, vibrations and thermal</t>
        </is>
      </c>
      <c r="H25" s="5" t="inlineStr">
        <is>
          <t>Molecules and molecular clusters</t>
        </is>
      </c>
      <c r="I25" s="5" t="inlineStr">
        <is>
          <t>Finite-temperature AIMD; vibrational power spectra; vibrational free energy</t>
        </is>
      </c>
      <c r="J25" s="5" t="inlineStr">
        <is>
          <t>Universal MLIPs</t>
        </is>
      </c>
      <c r="K25" s="5" t="inlineStr">
        <is>
          <t>Vibrational spectrum similarity; free-energy error; trajectory fidelity</t>
        </is>
      </c>
      <c r="L25" s="5" t="inlineStr">
        <is>
          <t>DFT AIMD</t>
        </is>
      </c>
      <c r="M25" s="6" t="inlineStr">
        <is>
          <t>10.1038/s41524-026-02286-5</t>
        </is>
      </c>
      <c r="N25" s="7" t="inlineStr">
        <is>
          <t>https://doi.org/10.1038/s41524-026-02286-5</t>
        </is>
      </c>
      <c r="O25" s="5" t="inlineStr"/>
      <c r="P25" s="7" t="inlineStr">
        <is>
          <t>https://huggingface.co/datasets/JSteffen91/OMOL-1k-MD</t>
        </is>
      </c>
      <c r="Q25" s="5" t="inlineStr">
        <is>
          <t>Yes</t>
        </is>
      </c>
      <c r="R25" s="5" t="inlineStr">
        <is>
          <t>Yes</t>
        </is>
      </c>
      <c r="S25" s="8" t="inlineStr">
        <is>
          <t>New literature sweep; web-verified</t>
        </is>
      </c>
      <c r="T25" s="9" t="inlineStr">
        <is>
          <t>A</t>
        </is>
      </c>
      <c r="U25" s="8" t="inlineStr">
        <is>
          <t>2026-09-29</t>
        </is>
      </c>
      <c r="V25" s="5" t="inlineStr">
        <is>
          <t>No</t>
        </is>
      </c>
      <c r="W25" s="5" t="inlineStr">
        <is>
          <t>High</t>
        </is>
      </c>
      <c r="X25" s="5" t="inlineStr">
        <is>
          <t>1000 systems and roughly 30 million AIMD structures.</t>
        </is>
      </c>
    </row>
    <row r="26">
      <c r="A26" s="5" t="inlineStr">
        <is>
          <t>N010</t>
        </is>
      </c>
      <c r="B26" s="5" t="inlineStr"/>
      <c r="C26" s="5" t="inlineStr">
        <is>
          <t>Benchmarking machine-learned potentials for adsorption on Pt and IrO2 surfaces using OC20 and OMat24</t>
        </is>
      </c>
      <c r="D26" s="5" t="inlineStr">
        <is>
          <t>2026</t>
        </is>
      </c>
      <c r="E26" s="5" t="inlineStr">
        <is>
          <t>Application benchmark study</t>
        </is>
      </c>
      <c r="F26" s="5" t="inlineStr">
        <is>
          <t>Core</t>
        </is>
      </c>
      <c r="G26" s="5" t="inlineStr">
        <is>
          <t>Surfaces, interfaces and catalysis</t>
        </is>
      </c>
      <c r="H26" s="5" t="inlineStr">
        <is>
          <t>Pt and IrO2 surfaces</t>
        </is>
      </c>
      <c r="I26" s="5" t="inlineStr">
        <is>
          <t>Adsorption energies; water-splitting intermediates</t>
        </is>
      </c>
      <c r="J26" s="5" t="inlineStr">
        <is>
          <t>UMA-OC20; UMA-OMat24</t>
        </is>
      </c>
      <c r="K26" s="5" t="inlineStr">
        <is>
          <t>Adsorption-energy error</t>
        </is>
      </c>
      <c r="L26" s="5" t="inlineStr">
        <is>
          <t>Matched DFT flavors</t>
        </is>
      </c>
      <c r="M26" s="6" t="inlineStr">
        <is>
          <t>10.1007/s44371-026-00865-5</t>
        </is>
      </c>
      <c r="N26" s="7" t="inlineStr">
        <is>
          <t>https://doi.org/10.1007/s44371-026-00865-5</t>
        </is>
      </c>
      <c r="O26" s="5" t="inlineStr"/>
      <c r="P26" s="5" t="inlineStr"/>
      <c r="Q26" s="5" t="inlineStr">
        <is>
          <t>Yes</t>
        </is>
      </c>
      <c r="R26" s="5" t="inlineStr">
        <is>
          <t>Unknown</t>
        </is>
      </c>
      <c r="S26" s="8" t="inlineStr">
        <is>
          <t>New literature sweep; web-verified</t>
        </is>
      </c>
      <c r="T26" s="9" t="inlineStr">
        <is>
          <t>A</t>
        </is>
      </c>
      <c r="U26" s="8" t="inlineStr">
        <is>
          <t>2026-09-29</t>
        </is>
      </c>
      <c r="V26" s="5" t="inlineStr">
        <is>
          <t>No</t>
        </is>
      </c>
      <c r="W26" s="5" t="inlineStr">
        <is>
          <t>High</t>
        </is>
      </c>
      <c r="X26" s="5" t="inlineStr">
        <is>
          <t>Separates dataset/DFT-flavor effects for surface adsorption.</t>
        </is>
      </c>
    </row>
    <row r="27">
      <c r="A27" s="5" t="inlineStr">
        <is>
          <t>E073</t>
        </is>
      </c>
      <c r="B27" s="5" t="inlineStr">
        <is>
          <t>ZA9RF9NI</t>
        </is>
      </c>
      <c r="C27" s="5" t="inlineStr">
        <is>
          <t>Benchmarking universal machine learning interatomic potentials for supported nanoparticles: decoupling energy accuracy from structural exploration</t>
        </is>
      </c>
      <c r="D27" s="5" t="inlineStr">
        <is>
          <t>2026</t>
        </is>
      </c>
      <c r="E27" s="5" t="inlineStr">
        <is>
          <t>Core benchmark study</t>
        </is>
      </c>
      <c r="F27" s="5" t="inlineStr">
        <is>
          <t>Core</t>
        </is>
      </c>
      <c r="G27" s="5" t="inlineStr">
        <is>
          <t>Surfaces, interfaces and catalysis</t>
        </is>
      </c>
      <c r="H27" s="5" t="inlineStr">
        <is>
          <t>Broad / mixed atomistic systems</t>
        </is>
      </c>
      <c r="I27" s="5" t="inlineStr">
        <is>
          <t>energy/force/stress accuracy</t>
        </is>
      </c>
      <c r="J27" s="5" t="inlineStr"/>
      <c r="K27" s="5" t="inlineStr">
        <is>
          <t>energy/force/stress MAE or RMSE</t>
        </is>
      </c>
      <c r="L27" s="5" t="inlineStr">
        <is>
          <t>DFT / reference data (see paper)</t>
        </is>
      </c>
      <c r="M27" s="6" t="inlineStr">
        <is>
          <t>10.1038/s41524-026-02043-8</t>
        </is>
      </c>
      <c r="N27" s="7" t="inlineStr">
        <is>
          <t>https://www.nature.com/articles/s41524-026-02043-8</t>
        </is>
      </c>
      <c r="O27" s="5" t="inlineStr"/>
      <c r="P27" s="5" t="inlineStr"/>
      <c r="Q27" s="5" t="inlineStr">
        <is>
          <t>Yes</t>
        </is>
      </c>
      <c r="R27" s="5" t="inlineStr">
        <is>
          <t>Unknown</t>
        </is>
      </c>
      <c r="S27" s="8" t="inlineStr">
        <is>
          <t>Existing Zotero bibliography; normalized</t>
        </is>
      </c>
      <c r="T27" s="10" t="inlineStr">
        <is>
          <t>B</t>
        </is>
      </c>
      <c r="U27" s="8" t="inlineStr">
        <is>
          <t>2026-09-29</t>
        </is>
      </c>
      <c r="V27" s="5" t="inlineStr">
        <is>
          <t>Yes</t>
        </is>
      </c>
      <c r="W27" s="5" t="inlineStr">
        <is>
          <t>Medium</t>
        </is>
      </c>
      <c r="X27" s="5" t="inlineStr"/>
    </row>
    <row r="28">
      <c r="A28" s="5" t="inlineStr">
        <is>
          <t>E009</t>
        </is>
      </c>
      <c r="B28" s="5" t="inlineStr">
        <is>
          <t>5VZ6ARUZ</t>
        </is>
      </c>
      <c r="C28" s="5" t="inlineStr">
        <is>
          <t>Design, assessment, and application of machine learning potential energy surfaces</t>
        </is>
      </c>
      <c r="D28" s="5" t="inlineStr">
        <is>
          <t>2026</t>
        </is>
      </c>
      <c r="E28" s="5" t="inlineStr">
        <is>
          <t>Core benchmark study</t>
        </is>
      </c>
      <c r="F28" s="5" t="inlineStr">
        <is>
          <t>Core</t>
        </is>
      </c>
      <c r="G28" s="5" t="inlineStr">
        <is>
          <t>Surfaces, interfaces and catalysis</t>
        </is>
      </c>
      <c r="H28" s="5" t="inlineStr">
        <is>
          <t>Surfaces / interfaces / catalysts</t>
        </is>
      </c>
      <c r="I28" s="5" t="inlineStr">
        <is>
          <t>energy/force/stress accuracy; surface / adsorption / catalysis</t>
        </is>
      </c>
      <c r="J28" s="5" t="inlineStr"/>
      <c r="K28" s="5" t="inlineStr">
        <is>
          <t>energy/force/stress MAE or RMSE</t>
        </is>
      </c>
      <c r="L28" s="5" t="inlineStr">
        <is>
          <t>DFT / reference data (see paper)</t>
        </is>
      </c>
      <c r="M28" s="6" t="inlineStr">
        <is>
          <t>10.1088/2632-2153/ae47b9</t>
        </is>
      </c>
      <c r="N28" s="7" t="inlineStr">
        <is>
          <t>https://doi.org/10.1088/2632-2153/ae47b9</t>
        </is>
      </c>
      <c r="O28" s="5" t="inlineStr"/>
      <c r="P28" s="5" t="inlineStr"/>
      <c r="Q28" s="5" t="inlineStr">
        <is>
          <t>Yes</t>
        </is>
      </c>
      <c r="R28" s="5" t="inlineStr">
        <is>
          <t>Unknown</t>
        </is>
      </c>
      <c r="S28" s="8" t="inlineStr">
        <is>
          <t>Existing Zotero bibliography; normalized</t>
        </is>
      </c>
      <c r="T28" s="10" t="inlineStr">
        <is>
          <t>B</t>
        </is>
      </c>
      <c r="U28" s="8" t="inlineStr">
        <is>
          <t>2026-09-29</t>
        </is>
      </c>
      <c r="V28" s="5" t="inlineStr">
        <is>
          <t>Yes</t>
        </is>
      </c>
      <c r="W28" s="5" t="inlineStr">
        <is>
          <t>Medium</t>
        </is>
      </c>
      <c r="X28" s="5" t="inlineStr"/>
    </row>
    <row r="29">
      <c r="A29" s="5" t="inlineStr">
        <is>
          <t>E027</t>
        </is>
      </c>
      <c r="B29" s="5" t="inlineStr">
        <is>
          <t>VJZUS8ZB</t>
        </is>
      </c>
      <c r="C29" s="5" t="inlineStr">
        <is>
          <t>How accurate are foundational machine learning interatomic potentials for heterogeneous catalysis?</t>
        </is>
      </c>
      <c r="D29" s="5" t="inlineStr">
        <is>
          <t>2026</t>
        </is>
      </c>
      <c r="E29" s="5" t="inlineStr">
        <is>
          <t>Core benchmark study</t>
        </is>
      </c>
      <c r="F29" s="5" t="inlineStr">
        <is>
          <t>Core</t>
        </is>
      </c>
      <c r="G29" s="5" t="inlineStr">
        <is>
          <t>Surfaces, interfaces and catalysis</t>
        </is>
      </c>
      <c r="H29" s="5" t="inlineStr">
        <is>
          <t>Alloyed metals; oxides; metal-oxide interfaces</t>
        </is>
      </c>
      <c r="I29" s="5" t="inlineStr">
        <is>
          <t>Adsorption; reaction; vacancies; vibrations; structural relaxation</t>
        </is>
      </c>
      <c r="J29" s="5" t="inlineStr"/>
      <c r="K29" s="5" t="inlineStr">
        <is>
          <t>Task-specific energy/property errors across 80 foundation MLIPs</t>
        </is>
      </c>
      <c r="L29" s="5" t="inlineStr">
        <is>
          <t>DFT / reference data (see paper)</t>
        </is>
      </c>
      <c r="M29" s="6" t="inlineStr">
        <is>
          <t>10.1063/5.0317672</t>
        </is>
      </c>
      <c r="N29" s="7" t="inlineStr">
        <is>
          <t>https://doi.org/10.1063/5.0317672</t>
        </is>
      </c>
      <c r="O29" s="5" t="inlineStr"/>
      <c r="P29" s="5" t="inlineStr"/>
      <c r="Q29" s="5" t="inlineStr">
        <is>
          <t>Yes</t>
        </is>
      </c>
      <c r="R29" s="5" t="inlineStr">
        <is>
          <t>Unknown</t>
        </is>
      </c>
      <c r="S29" s="8" t="inlineStr">
        <is>
          <t>Existing Zotero bibliography; normalized</t>
        </is>
      </c>
      <c r="T29" s="10" t="inlineStr">
        <is>
          <t>B</t>
        </is>
      </c>
      <c r="U29" s="8" t="inlineStr">
        <is>
          <t>2026-09-29</t>
        </is>
      </c>
      <c r="V29" s="5" t="inlineStr">
        <is>
          <t>Yes</t>
        </is>
      </c>
      <c r="W29" s="5" t="inlineStr">
        <is>
          <t>High</t>
        </is>
      </c>
      <c r="X29" s="5" t="inlineStr"/>
    </row>
    <row r="30">
      <c r="A30" s="5" t="inlineStr">
        <is>
          <t>E087</t>
        </is>
      </c>
      <c r="B30" s="5" t="inlineStr">
        <is>
          <t>7L3G7LTT</t>
        </is>
      </c>
      <c r="C30" s="5" t="inlineStr">
        <is>
          <t>Assessment and Application of Universal Machine Learning Interatomic Potentials in Solid-State Electrolyte Research</t>
        </is>
      </c>
      <c r="D30" s="5" t="inlineStr">
        <is>
          <t>2025</t>
        </is>
      </c>
      <c r="E30" s="5" t="inlineStr">
        <is>
          <t>Core benchmark study</t>
        </is>
      </c>
      <c r="F30" s="5" t="inlineStr">
        <is>
          <t>Core</t>
        </is>
      </c>
      <c r="G30" s="5" t="inlineStr">
        <is>
          <t>Batteries, diffusion and ion transport</t>
        </is>
      </c>
      <c r="H30" s="5" t="inlineStr">
        <is>
          <t>Battery / ionic materials</t>
        </is>
      </c>
      <c r="I30" s="5" t="inlineStr">
        <is>
          <t>energy/force/stress accuracy</t>
        </is>
      </c>
      <c r="J30" s="5" t="inlineStr"/>
      <c r="K30" s="5" t="inlineStr">
        <is>
          <t>energy/force/stress MAE or RMSE</t>
        </is>
      </c>
      <c r="L30" s="5" t="inlineStr">
        <is>
          <t>DFT / reference data (see paper)</t>
        </is>
      </c>
      <c r="M30" s="6" t="inlineStr">
        <is>
          <t>10.1021/acsmaterialslett.5c00336</t>
        </is>
      </c>
      <c r="N30" s="7" t="inlineStr">
        <is>
          <t>https://doi.org/10.1021/acsmaterialslett.5c00336</t>
        </is>
      </c>
      <c r="O30" s="5" t="inlineStr"/>
      <c r="P30" s="5" t="inlineStr"/>
      <c r="Q30" s="5" t="inlineStr">
        <is>
          <t>Yes</t>
        </is>
      </c>
      <c r="R30" s="5" t="inlineStr">
        <is>
          <t>Unknown</t>
        </is>
      </c>
      <c r="S30" s="8" t="inlineStr">
        <is>
          <t>Existing Zotero bibliography; normalized</t>
        </is>
      </c>
      <c r="T30" s="10" t="inlineStr">
        <is>
          <t>B</t>
        </is>
      </c>
      <c r="U30" s="8" t="inlineStr">
        <is>
          <t>2026-09-29</t>
        </is>
      </c>
      <c r="V30" s="5" t="inlineStr">
        <is>
          <t>Yes</t>
        </is>
      </c>
      <c r="W30" s="5" t="inlineStr">
        <is>
          <t>Medium</t>
        </is>
      </c>
      <c r="X30" s="5" t="inlineStr"/>
    </row>
    <row r="31">
      <c r="A31" s="5" t="inlineStr">
        <is>
          <t>E086</t>
        </is>
      </c>
      <c r="B31" s="5" t="inlineStr">
        <is>
          <t>52XJX32F</t>
        </is>
      </c>
      <c r="C31" s="5" t="inlineStr">
        <is>
          <t>Benchmarking machine learning models for predicting lithium ion migration</t>
        </is>
      </c>
      <c r="D31" s="5" t="inlineStr">
        <is>
          <t>2025</t>
        </is>
      </c>
      <c r="E31" s="5" t="inlineStr">
        <is>
          <t>Core benchmark study</t>
        </is>
      </c>
      <c r="F31" s="5" t="inlineStr">
        <is>
          <t>Core</t>
        </is>
      </c>
      <c r="G31" s="5" t="inlineStr">
        <is>
          <t>Batteries, diffusion and ion transport</t>
        </is>
      </c>
      <c r="H31" s="5" t="inlineStr">
        <is>
          <t>Battery / ionic materials</t>
        </is>
      </c>
      <c r="I31" s="5" t="inlineStr">
        <is>
          <t>energy/force/stress accuracy; migration / diffusion</t>
        </is>
      </c>
      <c r="J31" s="5" t="inlineStr"/>
      <c r="K31" s="5" t="inlineStr">
        <is>
          <t>energy/force/stress MAE or RMSE; barrier / diffusion error</t>
        </is>
      </c>
      <c r="L31" s="5" t="inlineStr">
        <is>
          <t>DFT / reference data (see paper)</t>
        </is>
      </c>
      <c r="M31" s="6" t="inlineStr">
        <is>
          <t>10.1038/s41524-025-01571-z</t>
        </is>
      </c>
      <c r="N31" s="7" t="inlineStr">
        <is>
          <t>https://www.nature.com/articles/s41524-025-01571-z</t>
        </is>
      </c>
      <c r="O31" s="5" t="inlineStr"/>
      <c r="P31" s="5" t="inlineStr"/>
      <c r="Q31" s="5" t="inlineStr">
        <is>
          <t>Yes</t>
        </is>
      </c>
      <c r="R31" s="5" t="inlineStr">
        <is>
          <t>Unknown</t>
        </is>
      </c>
      <c r="S31" s="8" t="inlineStr">
        <is>
          <t>Existing Zotero bibliography; normalized</t>
        </is>
      </c>
      <c r="T31" s="10" t="inlineStr">
        <is>
          <t>B</t>
        </is>
      </c>
      <c r="U31" s="8" t="inlineStr">
        <is>
          <t>2026-09-29</t>
        </is>
      </c>
      <c r="V31" s="5" t="inlineStr">
        <is>
          <t>Yes</t>
        </is>
      </c>
      <c r="W31" s="5" t="inlineStr">
        <is>
          <t>Medium</t>
        </is>
      </c>
      <c r="X31" s="5" t="inlineStr"/>
    </row>
    <row r="32">
      <c r="A32" s="5" t="inlineStr">
        <is>
          <t>E013</t>
        </is>
      </c>
      <c r="B32" s="5" t="inlineStr">
        <is>
          <t>5XBH8Q4W</t>
        </is>
      </c>
      <c r="C32" s="5" t="inlineStr">
        <is>
          <t>MLIP Arena: Advancing Fairness and Transparency in Machine Learning Interatomic Potentials via an Open, Accessible Benchmark Platform</t>
        </is>
      </c>
      <c r="D32" s="5" t="inlineStr">
        <is>
          <t>2025</t>
        </is>
      </c>
      <c r="E32" s="5" t="inlineStr">
        <is>
          <t>Benchmark suite/platform</t>
        </is>
      </c>
      <c r="F32" s="5" t="inlineStr">
        <is>
          <t>Core</t>
        </is>
      </c>
      <c r="G32" s="5" t="inlineStr">
        <is>
          <t>Benchmark suites and platforms</t>
        </is>
      </c>
      <c r="H32" s="5" t="inlineStr">
        <is>
          <t>Broad atomistic systems</t>
        </is>
      </c>
      <c r="I32" s="5" t="inlineStr">
        <is>
          <t>Open standardized MLIP comparison; leaderboard/platform</t>
        </is>
      </c>
      <c r="J32" s="5" t="inlineStr"/>
      <c r="K32" s="5" t="inlineStr">
        <is>
          <t>Task-dependent benchmark metrics</t>
        </is>
      </c>
      <c r="L32" s="5" t="inlineStr">
        <is>
          <t>DFT / reference data (see paper)</t>
        </is>
      </c>
      <c r="M32" s="6" t="inlineStr">
        <is>
          <t>10.48550/arXiv.2509.20630</t>
        </is>
      </c>
      <c r="N32" s="7" t="inlineStr">
        <is>
          <t>http://arxiv.org/abs/2509.20630</t>
        </is>
      </c>
      <c r="O32" s="5" t="inlineStr"/>
      <c r="P32" s="5" t="inlineStr"/>
      <c r="Q32" s="5" t="inlineStr">
        <is>
          <t>No</t>
        </is>
      </c>
      <c r="R32" s="5" t="inlineStr">
        <is>
          <t>Unknown</t>
        </is>
      </c>
      <c r="S32" s="8" t="inlineStr">
        <is>
          <t>Existing Zotero bibliography; normalized</t>
        </is>
      </c>
      <c r="T32" s="10" t="inlineStr">
        <is>
          <t>B</t>
        </is>
      </c>
      <c r="U32" s="8" t="inlineStr">
        <is>
          <t>2026-09-29</t>
        </is>
      </c>
      <c r="V32" s="5" t="inlineStr">
        <is>
          <t>Yes</t>
        </is>
      </c>
      <c r="W32" s="5" t="inlineStr">
        <is>
          <t>High</t>
        </is>
      </c>
      <c r="X32" s="5" t="inlineStr"/>
    </row>
    <row r="33">
      <c r="A33" s="5" t="inlineStr">
        <is>
          <t>N041</t>
        </is>
      </c>
      <c r="B33" s="5" t="inlineStr"/>
      <c r="C33" s="5" t="inlineStr">
        <is>
          <t>MLIPAudit: A benchmarking tool for Machine Learned Interatomic Potentials</t>
        </is>
      </c>
      <c r="D33" s="5" t="inlineStr">
        <is>
          <t>2025</t>
        </is>
      </c>
      <c r="E33" s="5" t="inlineStr">
        <is>
          <t>Benchmark suite/platform</t>
        </is>
      </c>
      <c r="F33" s="5" t="inlineStr">
        <is>
          <t>Core</t>
        </is>
      </c>
      <c r="G33" s="5" t="inlineStr">
        <is>
          <t>Benchmark suites and platforms</t>
        </is>
      </c>
      <c r="H33" s="5" t="inlineStr">
        <is>
          <t>Small organics, molecular liquids, proteins and flexible peptides</t>
        </is>
      </c>
      <c r="I33" s="5" t="inlineStr">
        <is>
          <t>Modular downstream benchmark suite; CLI/GUI; public leaderboard; scaling</t>
        </is>
      </c>
      <c r="J33" s="5" t="inlineStr">
        <is>
          <t>UMA-Small; MACE-OFF; MACE-MP and additional models</t>
        </is>
      </c>
      <c r="K33" s="5" t="inlineStr">
        <is>
          <t>Per-benchmark 0-1 scores; task metrics; scaling/runtime</t>
        </is>
      </c>
      <c r="L33" s="5" t="inlineStr">
        <is>
          <t>Reference quantum/experimental data</t>
        </is>
      </c>
      <c r="M33" s="5" t="inlineStr"/>
      <c r="N33" s="7" t="inlineStr">
        <is>
          <t>https://arxiv.org/abs/2511.20487</t>
        </is>
      </c>
      <c r="O33" s="7" t="inlineStr">
        <is>
          <t>https://github.com/instadeepai/mlipaudit</t>
        </is>
      </c>
      <c r="P33" s="7" t="inlineStr">
        <is>
          <t>https://huggingface.co/spaces/InstaDeepAI/mlipaudit-leaderboard</t>
        </is>
      </c>
      <c r="Q33" s="5" t="inlineStr">
        <is>
          <t>No</t>
        </is>
      </c>
      <c r="R33" s="5" t="inlineStr">
        <is>
          <t>Yes</t>
        </is>
      </c>
      <c r="S33" s="8" t="inlineStr">
        <is>
          <t>New literature sweep; web-verified</t>
        </is>
      </c>
      <c r="T33" s="9" t="inlineStr">
        <is>
          <t>A</t>
        </is>
      </c>
      <c r="U33" s="8" t="inlineStr">
        <is>
          <t>2026-09-29</t>
        </is>
      </c>
      <c r="V33" s="5" t="inlineStr">
        <is>
          <t>No</t>
        </is>
      </c>
      <c r="W33" s="5" t="inlineStr">
        <is>
          <t>High</t>
        </is>
      </c>
      <c r="X33" s="5" t="inlineStr">
        <is>
          <t>Open Apache-2.0 benchmark library with reusable ASE-compatible pipeline and continuously updated leaderboard.</t>
        </is>
      </c>
    </row>
    <row r="34">
      <c r="A34" s="5" t="inlineStr">
        <is>
          <t>E088</t>
        </is>
      </c>
      <c r="B34" s="5" t="inlineStr">
        <is>
          <t>9U9TATYG</t>
        </is>
      </c>
      <c r="C34" s="5" t="inlineStr">
        <is>
          <t>MS25: Materials Science-Focused Benchmark Data Set for Machine Learning Interatomic Potentials</t>
        </is>
      </c>
      <c r="D34" s="5" t="inlineStr">
        <is>
          <t>2025</t>
        </is>
      </c>
      <c r="E34" s="5" t="inlineStr">
        <is>
          <t>Benchmark dataset + study</t>
        </is>
      </c>
      <c r="F34" s="5" t="inlineStr">
        <is>
          <t>Core</t>
        </is>
      </c>
      <c r="G34" s="5" t="inlineStr">
        <is>
          <t>Benchmark suites and platforms</t>
        </is>
      </c>
      <c r="H34" s="5" t="inlineStr">
        <is>
          <t>MgO surfaces; water; zeolites; Pt reaction; HEAs; Zr oxides</t>
        </is>
      </c>
      <c r="I34" s="5" t="inlineStr">
        <is>
          <t>E/F/S; observables; transferability; size extensivity</t>
        </is>
      </c>
      <c r="J34" s="5" t="inlineStr"/>
      <c r="K34" s="5" t="inlineStr">
        <is>
          <t>E/F/S errors; lattice; volume; reaction barriers</t>
        </is>
      </c>
      <c r="L34" s="5" t="inlineStr">
        <is>
          <t>DFT / reference data (see paper)</t>
        </is>
      </c>
      <c r="M34" s="6" t="inlineStr">
        <is>
          <t>10.1021/acs.jcim.5c01262</t>
        </is>
      </c>
      <c r="N34" s="7" t="inlineStr">
        <is>
          <t>https://doi.org/10.1021/acs.jcim.5c01262</t>
        </is>
      </c>
      <c r="O34" s="5" t="inlineStr"/>
      <c r="P34" s="5" t="inlineStr"/>
      <c r="Q34" s="5" t="inlineStr">
        <is>
          <t>Yes</t>
        </is>
      </c>
      <c r="R34" s="5" t="inlineStr">
        <is>
          <t>Unknown</t>
        </is>
      </c>
      <c r="S34" s="8" t="inlineStr">
        <is>
          <t>Existing Zotero bibliography; normalized</t>
        </is>
      </c>
      <c r="T34" s="10" t="inlineStr">
        <is>
          <t>B</t>
        </is>
      </c>
      <c r="U34" s="8" t="inlineStr">
        <is>
          <t>2026-09-29</t>
        </is>
      </c>
      <c r="V34" s="5" t="inlineStr">
        <is>
          <t>Yes</t>
        </is>
      </c>
      <c r="W34" s="5" t="inlineStr">
        <is>
          <t>High</t>
        </is>
      </c>
      <c r="X34" s="5" t="inlineStr"/>
    </row>
    <row r="35">
      <c r="A35" s="5" t="inlineStr">
        <is>
          <t>N032</t>
        </is>
      </c>
      <c r="B35" s="5" t="inlineStr"/>
      <c r="C35" s="5" t="inlineStr">
        <is>
          <t>MatCalc</t>
        </is>
      </c>
      <c r="D35" s="5" t="inlineStr">
        <is>
          <t>2025</t>
        </is>
      </c>
      <c r="E35" s="5" t="inlineStr">
        <is>
          <t>Benchmark suite/platform</t>
        </is>
      </c>
      <c r="F35" s="5" t="inlineStr">
        <is>
          <t>Core</t>
        </is>
      </c>
      <c r="G35" s="5" t="inlineStr">
        <is>
          <t>Benchmark suites and platforms</t>
        </is>
      </c>
      <c r="H35" s="5" t="inlineStr">
        <is>
          <t>Inorganic materials</t>
        </is>
      </c>
      <c r="I35" s="5" t="inlineStr">
        <is>
          <t>Property calculation and standardized elasticity/phonon benchmarks</t>
        </is>
      </c>
      <c r="J35" s="5" t="inlineStr">
        <is>
          <t>Multiple foundation potentials</t>
        </is>
      </c>
      <c r="K35" s="5" t="inlineStr">
        <is>
          <t>Elasticity and phonon benchmark metrics</t>
        </is>
      </c>
      <c r="L35" s="5" t="inlineStr">
        <is>
          <t>DFT/reference property data</t>
        </is>
      </c>
      <c r="M35" s="5" t="inlineStr"/>
      <c r="N35" s="7" t="inlineStr">
        <is>
          <t>https://matcalc.ai/</t>
        </is>
      </c>
      <c r="O35" s="5" t="inlineStr"/>
      <c r="P35" s="5" t="inlineStr"/>
      <c r="Q35" s="5" t="inlineStr">
        <is>
          <t>No</t>
        </is>
      </c>
      <c r="R35" s="5" t="inlineStr">
        <is>
          <t>Unknown</t>
        </is>
      </c>
      <c r="S35" s="8" t="inlineStr">
        <is>
          <t>New literature sweep; web-verified</t>
        </is>
      </c>
      <c r="T35" s="9" t="inlineStr">
        <is>
          <t>A</t>
        </is>
      </c>
      <c r="U35" s="8" t="inlineStr">
        <is>
          <t>2026-09-29</t>
        </is>
      </c>
      <c r="V35" s="5" t="inlineStr">
        <is>
          <t>No</t>
        </is>
      </c>
      <c r="W35" s="5" t="inlineStr">
        <is>
          <t>High</t>
        </is>
      </c>
      <c r="X35" s="5" t="inlineStr">
        <is>
          <t>Python framework released with MatPES; exposes reusable BenchmarkSuite APIs.</t>
        </is>
      </c>
    </row>
    <row r="36">
      <c r="A36" s="5" t="inlineStr">
        <is>
          <t>E077</t>
        </is>
      </c>
      <c r="B36" s="5" t="inlineStr">
        <is>
          <t>C9SL78KD</t>
        </is>
      </c>
      <c r="C36" s="5" t="inlineStr">
        <is>
          <t>A framework to evaluate machine learning crystal stability predictions</t>
        </is>
      </c>
      <c r="D36" s="5" t="inlineStr">
        <is>
          <t>2025</t>
        </is>
      </c>
      <c r="E36" s="5" t="inlineStr">
        <is>
          <t>Benchmark suite/platform</t>
        </is>
      </c>
      <c r="F36" s="5" t="inlineStr">
        <is>
          <t>Core</t>
        </is>
      </c>
      <c r="G36" s="5" t="inlineStr">
        <is>
          <t>Crystal search, stability and generation</t>
        </is>
      </c>
      <c r="H36" s="5" t="inlineStr">
        <is>
          <t>Inorganic crystals</t>
        </is>
      </c>
      <c r="I36" s="5" t="inlineStr">
        <is>
          <t>Discovery/stability evaluation; relaxation; classification</t>
        </is>
      </c>
      <c r="J36" s="5" t="inlineStr"/>
      <c r="K36" s="5" t="inlineStr">
        <is>
          <t>Discovery metrics; stability/classification metrics</t>
        </is>
      </c>
      <c r="L36" s="5" t="inlineStr">
        <is>
          <t>DFT / reference data (see paper)</t>
        </is>
      </c>
      <c r="M36" s="6" t="inlineStr">
        <is>
          <t>10.1038/s42256-025-01055-1</t>
        </is>
      </c>
      <c r="N36" s="7" t="inlineStr">
        <is>
          <t>https://www.nature.com/articles/s42256-025-01055-1</t>
        </is>
      </c>
      <c r="O36" s="7" t="inlineStr">
        <is>
          <t>https://github.com/janosh/matbench-discovery</t>
        </is>
      </c>
      <c r="P36" s="7" t="inlineStr">
        <is>
          <t>https://matbench-discovery.materialsproject.org/</t>
        </is>
      </c>
      <c r="Q36" s="5" t="inlineStr">
        <is>
          <t>Yes</t>
        </is>
      </c>
      <c r="R36" s="5" t="inlineStr">
        <is>
          <t>Yes</t>
        </is>
      </c>
      <c r="S36" s="8" t="inlineStr">
        <is>
          <t>Existing Zotero bibliography; normalized</t>
        </is>
      </c>
      <c r="T36" s="10" t="inlineStr">
        <is>
          <t>B</t>
        </is>
      </c>
      <c r="U36" s="8" t="inlineStr">
        <is>
          <t>2026-09-29</t>
        </is>
      </c>
      <c r="V36" s="5" t="inlineStr">
        <is>
          <t>Yes</t>
        </is>
      </c>
      <c r="W36" s="5" t="inlineStr">
        <is>
          <t>High</t>
        </is>
      </c>
      <c r="X36" s="5" t="inlineStr"/>
    </row>
    <row r="37">
      <c r="A37" s="5" t="inlineStr">
        <is>
          <t>E001</t>
        </is>
      </c>
      <c r="B37" s="5" t="inlineStr">
        <is>
          <t>S63RSPX5</t>
        </is>
      </c>
      <c r="C37" s="5" t="inlineStr">
        <is>
          <t>LeMat-GenBench: A Unified Evaluation Framework for Crystal Generative Models</t>
        </is>
      </c>
      <c r="D37" s="5" t="inlineStr">
        <is>
          <t>2025</t>
        </is>
      </c>
      <c r="E37" s="5" t="inlineStr">
        <is>
          <t>Core benchmark study</t>
        </is>
      </c>
      <c r="F37" s="5" t="inlineStr">
        <is>
          <t>Core</t>
        </is>
      </c>
      <c r="G37" s="5" t="inlineStr">
        <is>
          <t>Crystal search, stability and generation</t>
        </is>
      </c>
      <c r="H37" s="5" t="inlineStr">
        <is>
          <t>Inorganic crystals</t>
        </is>
      </c>
      <c r="I37" s="5" t="inlineStr">
        <is>
          <t>application-specific evaluation</t>
        </is>
      </c>
      <c r="J37" s="5" t="inlineStr"/>
      <c r="K37" s="5" t="inlineStr">
        <is>
          <t>task-specific metrics</t>
        </is>
      </c>
      <c r="L37" s="5" t="inlineStr">
        <is>
          <t>DFT / reference data (see paper)</t>
        </is>
      </c>
      <c r="M37" s="6" t="inlineStr">
        <is>
          <t>10.48550/ARXIV.2512.04562</t>
        </is>
      </c>
      <c r="N37" s="7" t="inlineStr">
        <is>
          <t>https://arxiv.org/abs/2512.04562</t>
        </is>
      </c>
      <c r="O37" s="5" t="inlineStr"/>
      <c r="P37" s="5" t="inlineStr"/>
      <c r="Q37" s="5" t="inlineStr">
        <is>
          <t>No</t>
        </is>
      </c>
      <c r="R37" s="5" t="inlineStr">
        <is>
          <t>Unknown</t>
        </is>
      </c>
      <c r="S37" s="8" t="inlineStr">
        <is>
          <t>Existing Zotero bibliography; normalized</t>
        </is>
      </c>
      <c r="T37" s="10" t="inlineStr">
        <is>
          <t>B</t>
        </is>
      </c>
      <c r="U37" s="8" t="inlineStr">
        <is>
          <t>2026-09-29</t>
        </is>
      </c>
      <c r="V37" s="5" t="inlineStr">
        <is>
          <t>Yes</t>
        </is>
      </c>
      <c r="W37" s="5" t="inlineStr">
        <is>
          <t>Medium</t>
        </is>
      </c>
      <c r="X37" s="5" t="inlineStr"/>
    </row>
    <row r="38">
      <c r="A38" s="5" t="inlineStr">
        <is>
          <t>N009</t>
        </is>
      </c>
      <c r="B38" s="5" t="inlineStr"/>
      <c r="C38" s="5" t="inlineStr">
        <is>
          <t>Screening of Material Defects using Universal Machine-Learning Interatomic Potentials</t>
        </is>
      </c>
      <c r="D38" s="5" t="inlineStr">
        <is>
          <t>2025</t>
        </is>
      </c>
      <c r="E38" s="5" t="inlineStr">
        <is>
          <t>Application benchmark study</t>
        </is>
      </c>
      <c r="F38" s="5" t="inlineStr">
        <is>
          <t>Core</t>
        </is>
      </c>
      <c r="G38" s="5" t="inlineStr">
        <is>
          <t>Defects, disorder and dimensionality</t>
        </is>
      </c>
      <c r="H38" s="5" t="inlineStr">
        <is>
          <t>Materials Project crystals and 2D materials</t>
        </is>
      </c>
      <c r="I38" s="5" t="inlineStr">
        <is>
          <t>Vacancy formation; defective-material screening; simulated etching</t>
        </is>
      </c>
      <c r="J38" s="5" t="inlineStr">
        <is>
          <t>Universal MLIPs</t>
        </is>
      </c>
      <c r="K38" s="5" t="inlineStr">
        <is>
          <t>Vacancy formation-energy error; hull/stability screening</t>
        </is>
      </c>
      <c r="L38" s="5" t="inlineStr">
        <is>
          <t>DFT</t>
        </is>
      </c>
      <c r="M38" s="6" t="inlineStr">
        <is>
          <t>10.1002/smll.202503956</t>
        </is>
      </c>
      <c r="N38" s="7" t="inlineStr">
        <is>
          <t>https://doi.org/10.1002/smll.202503956</t>
        </is>
      </c>
      <c r="O38" s="5" t="inlineStr"/>
      <c r="P38" s="5" t="inlineStr"/>
      <c r="Q38" s="5" t="inlineStr">
        <is>
          <t>Yes</t>
        </is>
      </c>
      <c r="R38" s="5" t="inlineStr">
        <is>
          <t>Unknown</t>
        </is>
      </c>
      <c r="S38" s="8" t="inlineStr">
        <is>
          <t>New literature sweep; web-verified</t>
        </is>
      </c>
      <c r="T38" s="9" t="inlineStr">
        <is>
          <t>A</t>
        </is>
      </c>
      <c r="U38" s="8" t="inlineStr">
        <is>
          <t>2026-09-29</t>
        </is>
      </c>
      <c r="V38" s="5" t="inlineStr">
        <is>
          <t>No</t>
        </is>
      </c>
      <c r="W38" s="5" t="inlineStr">
        <is>
          <t>High</t>
        </is>
      </c>
      <c r="X38" s="5" t="inlineStr">
        <is>
          <t>Includes vacancy calculations for 86,259 materials.</t>
        </is>
      </c>
    </row>
    <row r="39">
      <c r="A39" s="5" t="inlineStr">
        <is>
          <t>N006</t>
        </is>
      </c>
      <c r="B39" s="5" t="inlineStr"/>
      <c r="C39" s="5" t="inlineStr">
        <is>
          <t>Universal Machine Learning Potential for Systems with Reduced Dimensionality</t>
        </is>
      </c>
      <c r="D39" s="5" t="inlineStr">
        <is>
          <t>2025</t>
        </is>
      </c>
      <c r="E39" s="5" t="inlineStr">
        <is>
          <t>Core benchmark study</t>
        </is>
      </c>
      <c r="F39" s="5" t="inlineStr">
        <is>
          <t>Core</t>
        </is>
      </c>
      <c r="G39" s="5" t="inlineStr">
        <is>
          <t>Defects, disorder and dimensionality</t>
        </is>
      </c>
      <c r="H39" s="5" t="inlineStr">
        <is>
          <t>0D, 1D, 2D and 3D systems</t>
        </is>
      </c>
      <c r="I39" s="5" t="inlineStr">
        <is>
          <t>Cross-dimensional transferability; structure/energy/force evaluation</t>
        </is>
      </c>
      <c r="J39" s="5" t="inlineStr">
        <is>
          <t>Universal MLIPs</t>
        </is>
      </c>
      <c r="K39" s="5" t="inlineStr">
        <is>
          <t>Energy/force errors; structural/property transfer</t>
        </is>
      </c>
      <c r="L39" s="5" t="inlineStr">
        <is>
          <t>DFT</t>
        </is>
      </c>
      <c r="M39" s="5" t="inlineStr"/>
      <c r="N39" s="7" t="inlineStr">
        <is>
          <t>https://arxiv.org/abs/2508.15614</t>
        </is>
      </c>
      <c r="O39" s="5" t="inlineStr"/>
      <c r="P39" s="5" t="inlineStr"/>
      <c r="Q39" s="5" t="inlineStr">
        <is>
          <t>No</t>
        </is>
      </c>
      <c r="R39" s="5" t="inlineStr">
        <is>
          <t>Unknown</t>
        </is>
      </c>
      <c r="S39" s="8" t="inlineStr">
        <is>
          <t>New literature sweep; web-verified</t>
        </is>
      </c>
      <c r="T39" s="9" t="inlineStr">
        <is>
          <t>A</t>
        </is>
      </c>
      <c r="U39" s="8" t="inlineStr">
        <is>
          <t>2026-09-29</t>
        </is>
      </c>
      <c r="V39" s="5" t="inlineStr">
        <is>
          <t>No</t>
        </is>
      </c>
      <c r="W39" s="5" t="inlineStr">
        <is>
          <t>High</t>
        </is>
      </c>
      <c r="X39" s="5" t="inlineStr">
        <is>
          <t>Highlights dimensionality as a distribution-shift axis.</t>
        </is>
      </c>
    </row>
    <row r="40">
      <c r="A40" s="5" t="inlineStr">
        <is>
          <t>N007</t>
        </is>
      </c>
      <c r="B40" s="5" t="inlineStr"/>
      <c r="C40" s="5" t="inlineStr">
        <is>
          <t>Universal machine learning interatomic potentials poised to supplant DFT in modeling general defects in metals and random alloys</t>
        </is>
      </c>
      <c r="D40" s="5" t="inlineStr">
        <is>
          <t>2025</t>
        </is>
      </c>
      <c r="E40" s="5" t="inlineStr">
        <is>
          <t>Core benchmark study</t>
        </is>
      </c>
      <c r="F40" s="5" t="inlineStr">
        <is>
          <t>Core</t>
        </is>
      </c>
      <c r="G40" s="5" t="inlineStr">
        <is>
          <t>Defects, disorder and dimensionality</t>
        </is>
      </c>
      <c r="H40" s="5" t="inlineStr">
        <is>
          <t>Metals and random alloys</t>
        </is>
      </c>
      <c r="I40" s="5" t="inlineStr">
        <is>
          <t>Point defects; grain boundaries; random alloys; H-alloy interactions; UQ; efficiency</t>
        </is>
      </c>
      <c r="J40" s="5" t="inlineStr">
        <is>
          <t>Universal MLIPs</t>
        </is>
      </c>
      <c r="K40" s="5" t="inlineStr">
        <is>
          <t>Defect energies; structural errors; uncertainty correlation; speed</t>
        </is>
      </c>
      <c r="L40" s="5" t="inlineStr">
        <is>
          <t>DFT</t>
        </is>
      </c>
      <c r="M40" s="6" t="inlineStr">
        <is>
          <t>10.1088/2632-2153/adea2d</t>
        </is>
      </c>
      <c r="N40" s="7" t="inlineStr">
        <is>
          <t>https://doi.org/10.1088/2632-2153/adea2d</t>
        </is>
      </c>
      <c r="O40" s="5" t="inlineStr"/>
      <c r="P40" s="5" t="inlineStr"/>
      <c r="Q40" s="5" t="inlineStr">
        <is>
          <t>Yes</t>
        </is>
      </c>
      <c r="R40" s="5" t="inlineStr">
        <is>
          <t>Unknown</t>
        </is>
      </c>
      <c r="S40" s="8" t="inlineStr">
        <is>
          <t>New literature sweep; web-verified</t>
        </is>
      </c>
      <c r="T40" s="9" t="inlineStr">
        <is>
          <t>A</t>
        </is>
      </c>
      <c r="U40" s="8" t="inlineStr">
        <is>
          <t>2026-09-29</t>
        </is>
      </c>
      <c r="V40" s="5" t="inlineStr">
        <is>
          <t>No</t>
        </is>
      </c>
      <c r="W40" s="5" t="inlineStr">
        <is>
          <t>High</t>
        </is>
      </c>
      <c r="X40" s="5" t="inlineStr">
        <is>
          <t>Broad defect-oriented validation in metals and alloys.</t>
        </is>
      </c>
    </row>
    <row r="41">
      <c r="A41" s="5" t="inlineStr">
        <is>
          <t>E084</t>
        </is>
      </c>
      <c r="B41" s="5" t="inlineStr">
        <is>
          <t>U6HYY3IV</t>
        </is>
      </c>
      <c r="C41" s="5" t="inlineStr">
        <is>
          <t>Universal machine learning potentials under pressure</t>
        </is>
      </c>
      <c r="D41" s="5" t="inlineStr">
        <is>
          <t>2025</t>
        </is>
      </c>
      <c r="E41" s="5" t="inlineStr">
        <is>
          <t>Core benchmark study</t>
        </is>
      </c>
      <c r="F41" s="5" t="inlineStr">
        <is>
          <t>Core</t>
        </is>
      </c>
      <c r="G41" s="5" t="inlineStr">
        <is>
          <t>Defects, disorder and dimensionality</t>
        </is>
      </c>
      <c r="H41" s="5" t="inlineStr">
        <is>
          <t>Broad / mixed atomistic systems</t>
        </is>
      </c>
      <c r="I41" s="5" t="inlineStr">
        <is>
          <t>application-specific evaluation</t>
        </is>
      </c>
      <c r="J41" s="5" t="inlineStr"/>
      <c r="K41" s="5" t="inlineStr">
        <is>
          <t>task-specific metrics</t>
        </is>
      </c>
      <c r="L41" s="5" t="inlineStr">
        <is>
          <t>DFT / reference data (see paper)</t>
        </is>
      </c>
      <c r="M41" s="6" t="inlineStr">
        <is>
          <t>10.1088/2515-7639/ae2ba8</t>
        </is>
      </c>
      <c r="N41" s="7" t="inlineStr">
        <is>
          <t>https://doi.org/10.1088/2515-7639/ae2ba8</t>
        </is>
      </c>
      <c r="O41" s="5" t="inlineStr"/>
      <c r="P41" s="5" t="inlineStr"/>
      <c r="Q41" s="5" t="inlineStr">
        <is>
          <t>Yes</t>
        </is>
      </c>
      <c r="R41" s="5" t="inlineStr">
        <is>
          <t>Unknown</t>
        </is>
      </c>
      <c r="S41" s="8" t="inlineStr">
        <is>
          <t>Existing Zotero bibliography; normalized</t>
        </is>
      </c>
      <c r="T41" s="10" t="inlineStr">
        <is>
          <t>B</t>
        </is>
      </c>
      <c r="U41" s="8" t="inlineStr">
        <is>
          <t>2026-09-29</t>
        </is>
      </c>
      <c r="V41" s="5" t="inlineStr">
        <is>
          <t>Yes</t>
        </is>
      </c>
      <c r="W41" s="5" t="inlineStr">
        <is>
          <t>Medium</t>
        </is>
      </c>
      <c r="X41" s="5" t="inlineStr"/>
    </row>
    <row r="42">
      <c r="A42" s="5" t="inlineStr">
        <is>
          <t>N013</t>
        </is>
      </c>
      <c r="B42" s="5" t="inlineStr"/>
      <c r="C42" s="5" t="inlineStr">
        <is>
          <t>Crash testing machine learning force fields for molecules, materials, and interfaces: model analysis in the TEA Challenge 2023</t>
        </is>
      </c>
      <c r="D42" s="5" t="inlineStr">
        <is>
          <t>2025</t>
        </is>
      </c>
      <c r="E42" s="5" t="inlineStr">
        <is>
          <t>Benchmark suite + study</t>
        </is>
      </c>
      <c r="F42" s="5" t="inlineStr">
        <is>
          <t>Core</t>
        </is>
      </c>
      <c r="G42" s="5" t="inlineStr">
        <is>
          <t>Dynamics and finite temperature</t>
        </is>
      </c>
      <c r="H42" s="5" t="inlineStr">
        <is>
          <t>Molecules, materials and interfaces</t>
        </is>
      </c>
      <c r="I42" s="5" t="inlineStr">
        <is>
          <t>Common-data MLFF training; MD stability; incomplete data; multicomponent/periodic systems</t>
        </is>
      </c>
      <c r="J42" s="5" t="inlineStr">
        <is>
          <t>MACE; SO3krates; sGDML; SOAP/GAP; FCHL19*</t>
        </is>
      </c>
      <c r="K42" s="5" t="inlineStr">
        <is>
          <t>Accuracy; MD stability; efficiency; task-specific observables</t>
        </is>
      </c>
      <c r="L42" s="5" t="inlineStr">
        <is>
          <t>DFT / experiment</t>
        </is>
      </c>
      <c r="M42" s="6" t="inlineStr">
        <is>
          <t>10.1039/D4SC06530A</t>
        </is>
      </c>
      <c r="N42" s="7" t="inlineStr">
        <is>
          <t>https://doi.org/10.1039/D4SC06530A</t>
        </is>
      </c>
      <c r="O42" s="5" t="inlineStr"/>
      <c r="P42" s="7" t="inlineStr">
        <is>
          <t>https://doi.org/10.5281/zenodo.10414029</t>
        </is>
      </c>
      <c r="Q42" s="5" t="inlineStr">
        <is>
          <t>Yes</t>
        </is>
      </c>
      <c r="R42" s="5" t="inlineStr">
        <is>
          <t>Yes</t>
        </is>
      </c>
      <c r="S42" s="8" t="inlineStr">
        <is>
          <t>New literature sweep; web-verified</t>
        </is>
      </c>
      <c r="T42" s="9" t="inlineStr">
        <is>
          <t>A</t>
        </is>
      </c>
      <c r="U42" s="8" t="inlineStr">
        <is>
          <t>2026-09-29</t>
        </is>
      </c>
      <c r="V42" s="5" t="inlineStr">
        <is>
          <t>No</t>
        </is>
      </c>
      <c r="W42" s="5" t="inlineStr">
        <is>
          <t>High</t>
        </is>
      </c>
      <c r="X42" s="5" t="inlineStr">
        <is>
          <t>TEA Challenge 2023 provides same-condition cross-architecture crash tests.</t>
        </is>
      </c>
    </row>
    <row r="43">
      <c r="A43" s="5" t="inlineStr">
        <is>
          <t>E072</t>
        </is>
      </c>
      <c r="B43" s="5" t="inlineStr">
        <is>
          <t>99A3YG48</t>
        </is>
      </c>
      <c r="C43" s="5" t="inlineStr">
        <is>
          <t>Benchmarking CHGNet Universal Machine Learning Interatomic Potential against DFT and EXAFS: The Case of Layered WS2 and MoS2</t>
        </is>
      </c>
      <c r="D43" s="5" t="inlineStr">
        <is>
          <t>2025</t>
        </is>
      </c>
      <c r="E43" s="5" t="inlineStr">
        <is>
          <t>Core benchmark study</t>
        </is>
      </c>
      <c r="F43" s="5" t="inlineStr">
        <is>
          <t>Core</t>
        </is>
      </c>
      <c r="G43" s="5" t="inlineStr">
        <is>
          <t>General and foundation MLIP evaluation</t>
        </is>
      </c>
      <c r="H43" s="5" t="inlineStr">
        <is>
          <t>Broad / mixed atomistic systems</t>
        </is>
      </c>
      <c r="I43" s="5" t="inlineStr">
        <is>
          <t>energy/force/stress accuracy</t>
        </is>
      </c>
      <c r="J43" s="5" t="inlineStr"/>
      <c r="K43" s="5" t="inlineStr">
        <is>
          <t>energy/force/stress MAE or RMSE</t>
        </is>
      </c>
      <c r="L43" s="5" t="inlineStr">
        <is>
          <t>DFT / reference data (see paper)</t>
        </is>
      </c>
      <c r="M43" s="6" t="inlineStr">
        <is>
          <t>10.1021/acs.jctc.5c00955</t>
        </is>
      </c>
      <c r="N43" s="7" t="inlineStr">
        <is>
          <t>https://doi.org/10.1021/acs.jctc.5c00955</t>
        </is>
      </c>
      <c r="O43" s="5" t="inlineStr"/>
      <c r="P43" s="5" t="inlineStr"/>
      <c r="Q43" s="5" t="inlineStr">
        <is>
          <t>Yes</t>
        </is>
      </c>
      <c r="R43" s="5" t="inlineStr">
        <is>
          <t>Unknown</t>
        </is>
      </c>
      <c r="S43" s="8" t="inlineStr">
        <is>
          <t>Existing Zotero bibliography; normalized</t>
        </is>
      </c>
      <c r="T43" s="10" t="inlineStr">
        <is>
          <t>B</t>
        </is>
      </c>
      <c r="U43" s="8" t="inlineStr">
        <is>
          <t>2026-09-29</t>
        </is>
      </c>
      <c r="V43" s="5" t="inlineStr">
        <is>
          <t>Yes</t>
        </is>
      </c>
      <c r="W43" s="5" t="inlineStr">
        <is>
          <t>Medium</t>
        </is>
      </c>
      <c r="X43" s="5" t="inlineStr"/>
    </row>
    <row r="44">
      <c r="A44" s="5" t="inlineStr">
        <is>
          <t>E018</t>
        </is>
      </c>
      <c r="B44" s="5" t="inlineStr">
        <is>
          <t>RF6DYKPQ</t>
        </is>
      </c>
      <c r="C44" s="5" t="inlineStr">
        <is>
          <t>CHIPS-FF: Evaluating Universal Machine Learning Force Fields for Material Properties</t>
        </is>
      </c>
      <c r="D44" s="5" t="inlineStr">
        <is>
          <t>2025</t>
        </is>
      </c>
      <c r="E44" s="5" t="inlineStr">
        <is>
          <t>Core benchmark study</t>
        </is>
      </c>
      <c r="F44" s="5" t="inlineStr">
        <is>
          <t>Core</t>
        </is>
      </c>
      <c r="G44" s="5" t="inlineStr">
        <is>
          <t>General and foundation MLIP evaluation</t>
        </is>
      </c>
      <c r="H44" s="5" t="inlineStr">
        <is>
          <t>Broad / mixed atomistic systems</t>
        </is>
      </c>
      <c r="I44" s="5" t="inlineStr">
        <is>
          <t>energy/force/stress accuracy</t>
        </is>
      </c>
      <c r="J44" s="5" t="inlineStr"/>
      <c r="K44" s="5" t="inlineStr">
        <is>
          <t>energy/force/stress MAE or RMSE</t>
        </is>
      </c>
      <c r="L44" s="5" t="inlineStr">
        <is>
          <t>DFT / reference data (see paper)</t>
        </is>
      </c>
      <c r="M44" s="6" t="inlineStr">
        <is>
          <t>10.1021/acsmaterialslett.5c00093</t>
        </is>
      </c>
      <c r="N44" s="7" t="inlineStr">
        <is>
          <t>https://pubs.acs.org/doi/10.1021/acsmaterialslett.5c00093</t>
        </is>
      </c>
      <c r="O44" s="5" t="inlineStr"/>
      <c r="P44" s="5" t="inlineStr"/>
      <c r="Q44" s="5" t="inlineStr">
        <is>
          <t>Yes</t>
        </is>
      </c>
      <c r="R44" s="5" t="inlineStr">
        <is>
          <t>Unknown</t>
        </is>
      </c>
      <c r="S44" s="8" t="inlineStr">
        <is>
          <t>Existing Zotero bibliography; normalized</t>
        </is>
      </c>
      <c r="T44" s="10" t="inlineStr">
        <is>
          <t>B</t>
        </is>
      </c>
      <c r="U44" s="8" t="inlineStr">
        <is>
          <t>2026-09-29</t>
        </is>
      </c>
      <c r="V44" s="5" t="inlineStr">
        <is>
          <t>Yes</t>
        </is>
      </c>
      <c r="W44" s="5" t="inlineStr">
        <is>
          <t>Medium</t>
        </is>
      </c>
      <c r="X44" s="5" t="inlineStr"/>
    </row>
    <row r="45">
      <c r="A45" s="5" t="inlineStr">
        <is>
          <t>E056</t>
        </is>
      </c>
      <c r="B45" s="5" t="inlineStr">
        <is>
          <t>3QRDV773</t>
        </is>
      </c>
      <c r="C45" s="5" t="inlineStr">
        <is>
          <t>Energy &amp; Force Regression on DFT Trajectories is Not Enough for Universal Machine Learning Interatomic Potentials</t>
        </is>
      </c>
      <c r="D45" s="5" t="inlineStr">
        <is>
          <t>2025</t>
        </is>
      </c>
      <c r="E45" s="5" t="inlineStr">
        <is>
          <t>Core benchmark study</t>
        </is>
      </c>
      <c r="F45" s="5" t="inlineStr">
        <is>
          <t>Core</t>
        </is>
      </c>
      <c r="G45" s="5" t="inlineStr">
        <is>
          <t>General and foundation MLIP evaluation</t>
        </is>
      </c>
      <c r="H45" s="5" t="inlineStr">
        <is>
          <t>Broad / mixed atomistic systems</t>
        </is>
      </c>
      <c r="I45" s="5" t="inlineStr">
        <is>
          <t>energy/force/stress accuracy</t>
        </is>
      </c>
      <c r="J45" s="5" t="inlineStr"/>
      <c r="K45" s="5" t="inlineStr">
        <is>
          <t>energy/force/stress MAE or RMSE</t>
        </is>
      </c>
      <c r="L45" s="5" t="inlineStr">
        <is>
          <t>DFT / reference data (see paper)</t>
        </is>
      </c>
      <c r="M45" s="6" t="inlineStr">
        <is>
          <t>10.48550/arXiv.2502.03660</t>
        </is>
      </c>
      <c r="N45" s="7" t="inlineStr">
        <is>
          <t>http://arxiv.org/abs/2502.03660</t>
        </is>
      </c>
      <c r="O45" s="5" t="inlineStr"/>
      <c r="P45" s="5" t="inlineStr"/>
      <c r="Q45" s="5" t="inlineStr">
        <is>
          <t>No</t>
        </is>
      </c>
      <c r="R45" s="5" t="inlineStr">
        <is>
          <t>Unknown</t>
        </is>
      </c>
      <c r="S45" s="8" t="inlineStr">
        <is>
          <t>Existing Zotero bibliography; normalized</t>
        </is>
      </c>
      <c r="T45" s="10" t="inlineStr">
        <is>
          <t>B</t>
        </is>
      </c>
      <c r="U45" s="8" t="inlineStr">
        <is>
          <t>2026-09-29</t>
        </is>
      </c>
      <c r="V45" s="5" t="inlineStr">
        <is>
          <t>Yes</t>
        </is>
      </c>
      <c r="W45" s="5" t="inlineStr">
        <is>
          <t>Medium</t>
        </is>
      </c>
      <c r="X45" s="5" t="inlineStr"/>
    </row>
    <row r="46">
      <c r="A46" s="5" t="inlineStr">
        <is>
          <t>E040</t>
        </is>
      </c>
      <c r="B46" s="5" t="inlineStr">
        <is>
          <t>SLJ86IUL</t>
        </is>
      </c>
      <c r="C46" s="5" t="inlineStr">
        <is>
          <t>MOFSimBench: evaluating universal machine learning interatomic potentials in metal-organic framework molecular modeling</t>
        </is>
      </c>
      <c r="D46" s="5" t="inlineStr">
        <is>
          <t>2025</t>
        </is>
      </c>
      <c r="E46" s="5" t="inlineStr">
        <is>
          <t>Benchmark suite + study</t>
        </is>
      </c>
      <c r="F46" s="5" t="inlineStr">
        <is>
          <t>Core</t>
        </is>
      </c>
      <c r="G46" s="5" t="inlineStr">
        <is>
          <t>MOFs, zeolites and molecular crystals</t>
        </is>
      </c>
      <c r="H46" s="5" t="inlineStr">
        <is>
          <t>MOFs</t>
        </is>
      </c>
      <c r="I46" s="5" t="inlineStr">
        <is>
          <t>Molecular modeling; structural/dynamic properties</t>
        </is>
      </c>
      <c r="J46" s="5" t="inlineStr"/>
      <c r="K46" s="5" t="inlineStr">
        <is>
          <t>Task-specific MOF observables</t>
        </is>
      </c>
      <c r="L46" s="5" t="inlineStr">
        <is>
          <t>DFT / reference data (see paper)</t>
        </is>
      </c>
      <c r="M46" s="6" t="inlineStr">
        <is>
          <t>10.1038/s41524-025-01872-3</t>
        </is>
      </c>
      <c r="N46" s="7" t="inlineStr">
        <is>
          <t>https://www.nature.com/articles/s41524-025-01872-3</t>
        </is>
      </c>
      <c r="O46" s="5" t="inlineStr"/>
      <c r="P46" s="5" t="inlineStr"/>
      <c r="Q46" s="5" t="inlineStr">
        <is>
          <t>Yes</t>
        </is>
      </c>
      <c r="R46" s="5" t="inlineStr">
        <is>
          <t>Unknown</t>
        </is>
      </c>
      <c r="S46" s="8" t="inlineStr">
        <is>
          <t>Existing Zotero bibliography; normalized</t>
        </is>
      </c>
      <c r="T46" s="10" t="inlineStr">
        <is>
          <t>B</t>
        </is>
      </c>
      <c r="U46" s="8" t="inlineStr">
        <is>
          <t>2026-09-29</t>
        </is>
      </c>
      <c r="V46" s="5" t="inlineStr">
        <is>
          <t>Yes</t>
        </is>
      </c>
      <c r="W46" s="5" t="inlineStr">
        <is>
          <t>High</t>
        </is>
      </c>
      <c r="X46" s="5" t="inlineStr"/>
    </row>
    <row r="47">
      <c r="A47" s="5" t="inlineStr">
        <is>
          <t>N005</t>
        </is>
      </c>
      <c r="B47" s="5" t="inlineStr"/>
      <c r="C47" s="5" t="inlineStr">
        <is>
          <t>Benchmarking Universal Machine Learning Interatomic Potentials for Elastic Property Prediction</t>
        </is>
      </c>
      <c r="D47" s="5" t="inlineStr">
        <is>
          <t>2025</t>
        </is>
      </c>
      <c r="E47" s="5" t="inlineStr">
        <is>
          <t>Core benchmark study</t>
        </is>
      </c>
      <c r="F47" s="5" t="inlineStr">
        <is>
          <t>Core</t>
        </is>
      </c>
      <c r="G47" s="5" t="inlineStr">
        <is>
          <t>Mechanical and elastic properties</t>
        </is>
      </c>
      <c r="H47" s="5" t="inlineStr">
        <is>
          <t>Nearly 11,000 inorganic materials</t>
        </is>
      </c>
      <c r="I47" s="5" t="inlineStr">
        <is>
          <t>Elastic tensors/moduli; relaxation; targeted fine-tuning</t>
        </is>
      </c>
      <c r="J47" s="5" t="inlineStr">
        <is>
          <t>MatterSim; MACE; SevenNet; CHGNet</t>
        </is>
      </c>
      <c r="K47" s="5" t="inlineStr">
        <is>
          <t>Elastic-property errors; stability/failure; fine-tuning gains</t>
        </is>
      </c>
      <c r="L47" s="5" t="inlineStr">
        <is>
          <t>DFT</t>
        </is>
      </c>
      <c r="M47" s="5" t="inlineStr"/>
      <c r="N47" s="7" t="inlineStr">
        <is>
          <t>https://arxiv.org/abs/2510.22999</t>
        </is>
      </c>
      <c r="O47" s="5" t="inlineStr"/>
      <c r="P47" s="5" t="inlineStr"/>
      <c r="Q47" s="5" t="inlineStr">
        <is>
          <t>No</t>
        </is>
      </c>
      <c r="R47" s="5" t="inlineStr">
        <is>
          <t>Unknown</t>
        </is>
      </c>
      <c r="S47" s="8" t="inlineStr">
        <is>
          <t>New literature sweep; web-verified</t>
        </is>
      </c>
      <c r="T47" s="9" t="inlineStr">
        <is>
          <t>A</t>
        </is>
      </c>
      <c r="U47" s="8" t="inlineStr">
        <is>
          <t>2026-09-29</t>
        </is>
      </c>
      <c r="V47" s="5" t="inlineStr">
        <is>
          <t>No</t>
        </is>
      </c>
      <c r="W47" s="5" t="inlineStr">
        <is>
          <t>High</t>
        </is>
      </c>
      <c r="X47" s="5" t="inlineStr">
        <is>
          <t>Large-scale elastic-property benchmark; manuscript revised in 2026.</t>
        </is>
      </c>
    </row>
    <row r="48">
      <c r="A48" s="5" t="inlineStr">
        <is>
          <t>E021</t>
        </is>
      </c>
      <c r="B48" s="5" t="inlineStr">
        <is>
          <t>2RGEQM4P</t>
        </is>
      </c>
      <c r="C48" s="5" t="inlineStr">
        <is>
          <t>Systematic softening in universal machine learning interatomic potentials</t>
        </is>
      </c>
      <c r="D48" s="5" t="inlineStr">
        <is>
          <t>2025</t>
        </is>
      </c>
      <c r="E48" s="5" t="inlineStr">
        <is>
          <t>Core benchmark study</t>
        </is>
      </c>
      <c r="F48" s="5" t="inlineStr">
        <is>
          <t>Core</t>
        </is>
      </c>
      <c r="G48" s="5" t="inlineStr">
        <is>
          <t>Methodology, reliability and efficiency</t>
        </is>
      </c>
      <c r="H48" s="5" t="inlineStr">
        <is>
          <t>Broad / mixed atomistic systems</t>
        </is>
      </c>
      <c r="I48" s="5" t="inlineStr">
        <is>
          <t>application-specific evaluation</t>
        </is>
      </c>
      <c r="J48" s="5" t="inlineStr"/>
      <c r="K48" s="5" t="inlineStr">
        <is>
          <t>task-specific metrics</t>
        </is>
      </c>
      <c r="L48" s="5" t="inlineStr">
        <is>
          <t>DFT / reference data (see paper)</t>
        </is>
      </c>
      <c r="M48" s="6" t="inlineStr">
        <is>
          <t>10.1038/s41524-024-01500-6</t>
        </is>
      </c>
      <c r="N48" s="7" t="inlineStr">
        <is>
          <t>https://www.nature.com/articles/s41524-024-01500-6</t>
        </is>
      </c>
      <c r="O48" s="5" t="inlineStr"/>
      <c r="P48" s="5" t="inlineStr"/>
      <c r="Q48" s="5" t="inlineStr">
        <is>
          <t>Yes</t>
        </is>
      </c>
      <c r="R48" s="5" t="inlineStr">
        <is>
          <t>Unknown</t>
        </is>
      </c>
      <c r="S48" s="8" t="inlineStr">
        <is>
          <t>Existing Zotero bibliography; normalized</t>
        </is>
      </c>
      <c r="T48" s="10" t="inlineStr">
        <is>
          <t>B</t>
        </is>
      </c>
      <c r="U48" s="8" t="inlineStr">
        <is>
          <t>2026-09-29</t>
        </is>
      </c>
      <c r="V48" s="5" t="inlineStr">
        <is>
          <t>Yes</t>
        </is>
      </c>
      <c r="W48" s="5" t="inlineStr">
        <is>
          <t>Medium</t>
        </is>
      </c>
      <c r="X48" s="5" t="inlineStr"/>
    </row>
    <row r="49">
      <c r="A49" s="5" t="inlineStr">
        <is>
          <t>E067</t>
        </is>
      </c>
      <c r="B49" s="5" t="inlineStr">
        <is>
          <t>QFBXJILC</t>
        </is>
      </c>
      <c r="C49" s="5" t="inlineStr">
        <is>
          <t>Benchmark of Approximate Quantum Chemical and Machine Learning Potentials for Biochemical Proton Transfer Reactions</t>
        </is>
      </c>
      <c r="D49" s="5" t="inlineStr">
        <is>
          <t>2025</t>
        </is>
      </c>
      <c r="E49" s="5" t="inlineStr">
        <is>
          <t>Core benchmark study</t>
        </is>
      </c>
      <c r="F49" s="5" t="inlineStr">
        <is>
          <t>Core</t>
        </is>
      </c>
      <c r="G49" s="5" t="inlineStr">
        <is>
          <t>Molecules, reactions and chemical kinetics</t>
        </is>
      </c>
      <c r="H49" s="5" t="inlineStr">
        <is>
          <t>Molecular / chemical systems</t>
        </is>
      </c>
      <c r="I49" s="5" t="inlineStr">
        <is>
          <t>energy/force/stress accuracy</t>
        </is>
      </c>
      <c r="J49" s="5" t="inlineStr"/>
      <c r="K49" s="5" t="inlineStr">
        <is>
          <t>energy/force/stress MAE or RMSE</t>
        </is>
      </c>
      <c r="L49" s="5" t="inlineStr">
        <is>
          <t>DFT / reference data (see paper)</t>
        </is>
      </c>
      <c r="M49" s="6" t="inlineStr">
        <is>
          <t>10.1021/acs.jctc.5c00690</t>
        </is>
      </c>
      <c r="N49" s="7" t="inlineStr">
        <is>
          <t>https://doi.org/10.1021/acs.jctc.5c00690</t>
        </is>
      </c>
      <c r="O49" s="5" t="inlineStr"/>
      <c r="P49" s="5" t="inlineStr"/>
      <c r="Q49" s="5" t="inlineStr">
        <is>
          <t>Yes</t>
        </is>
      </c>
      <c r="R49" s="5" t="inlineStr">
        <is>
          <t>Unknown</t>
        </is>
      </c>
      <c r="S49" s="8" t="inlineStr">
        <is>
          <t>Existing Zotero bibliography; normalized</t>
        </is>
      </c>
      <c r="T49" s="10" t="inlineStr">
        <is>
          <t>B</t>
        </is>
      </c>
      <c r="U49" s="8" t="inlineStr">
        <is>
          <t>2026-09-29</t>
        </is>
      </c>
      <c r="V49" s="5" t="inlineStr">
        <is>
          <t>Yes</t>
        </is>
      </c>
      <c r="W49" s="5" t="inlineStr">
        <is>
          <t>Medium</t>
        </is>
      </c>
      <c r="X49" s="5" t="inlineStr"/>
    </row>
    <row r="50">
      <c r="A50" s="5" t="inlineStr">
        <is>
          <t>N036</t>
        </is>
      </c>
      <c r="B50" s="5" t="inlineStr"/>
      <c r="C50" s="5" t="inlineStr">
        <is>
          <t>Benchmarking Universal Machine Learning Force Fields with Hydrogen-Bonding Cooperativity</t>
        </is>
      </c>
      <c r="D50" s="5" t="inlineStr">
        <is>
          <t>2025</t>
        </is>
      </c>
      <c r="E50" s="5" t="inlineStr">
        <is>
          <t>Core benchmark study</t>
        </is>
      </c>
      <c r="F50" s="5" t="inlineStr">
        <is>
          <t>Core</t>
        </is>
      </c>
      <c r="G50" s="5" t="inlineStr">
        <is>
          <t>Molecules, reactions and chemical kinetics</t>
        </is>
      </c>
      <c r="H50" s="5" t="inlineStr">
        <is>
          <t>N-methylacetamide H-bonded chains</t>
        </is>
      </c>
      <c r="I50" s="5" t="inlineStr">
        <is>
          <t>Many-body cooperativity / induction / dispersion</t>
        </is>
      </c>
      <c r="J50" s="5" t="inlineStr">
        <is>
          <t>ANI; MACE-OFF; Orb</t>
        </is>
      </c>
      <c r="K50" s="5" t="inlineStr">
        <is>
          <t>Hydrogen-bond cooperativity relative to QM</t>
        </is>
      </c>
      <c r="L50" s="5" t="inlineStr">
        <is>
          <t>Quantum chemistry</t>
        </is>
      </c>
      <c r="M50" s="6" t="inlineStr">
        <is>
          <t>10.4208/cicc.2025.90.02</t>
        </is>
      </c>
      <c r="N50" s="7" t="inlineStr">
        <is>
          <t>https://doi.org/10.4208/cicc.2025.90.02</t>
        </is>
      </c>
      <c r="O50" s="5" t="inlineStr"/>
      <c r="P50" s="5" t="inlineStr"/>
      <c r="Q50" s="5" t="inlineStr">
        <is>
          <t>Yes</t>
        </is>
      </c>
      <c r="R50" s="5" t="inlineStr">
        <is>
          <t>Unknown</t>
        </is>
      </c>
      <c r="S50" s="8" t="inlineStr">
        <is>
          <t>New literature sweep; web-verified</t>
        </is>
      </c>
      <c r="T50" s="9" t="inlineStr">
        <is>
          <t>A</t>
        </is>
      </c>
      <c r="U50" s="8" t="inlineStr">
        <is>
          <t>2026-09-29</t>
        </is>
      </c>
      <c r="V50" s="5" t="inlineStr">
        <is>
          <t>No</t>
        </is>
      </c>
      <c r="W50" s="5" t="inlineStr">
        <is>
          <t>High</t>
        </is>
      </c>
      <c r="X50" s="5" t="inlineStr">
        <is>
          <t>Probes cooperative many-body physics that standard molecular test errors can miss.</t>
        </is>
      </c>
    </row>
    <row r="51">
      <c r="A51" s="5" t="inlineStr">
        <is>
          <t>E024</t>
        </is>
      </c>
      <c r="B51" s="5" t="inlineStr">
        <is>
          <t>X3U5QZNF</t>
        </is>
      </c>
      <c r="C51" s="5" t="inlineStr">
        <is>
          <t>Wiggle150: Benchmarking Density Functionals and Neural Network Potentials on Highly Strained Conformers</t>
        </is>
      </c>
      <c r="D51" s="5" t="inlineStr">
        <is>
          <t>2025</t>
        </is>
      </c>
      <c r="E51" s="5" t="inlineStr">
        <is>
          <t>Core benchmark study</t>
        </is>
      </c>
      <c r="F51" s="5" t="inlineStr">
        <is>
          <t>Core</t>
        </is>
      </c>
      <c r="G51" s="5" t="inlineStr">
        <is>
          <t>Molecules, reactions and chemical kinetics</t>
        </is>
      </c>
      <c r="H51" s="5" t="inlineStr">
        <is>
          <t>Broad / mixed atomistic systems</t>
        </is>
      </c>
      <c r="I51" s="5" t="inlineStr">
        <is>
          <t>energy/force/stress accuracy</t>
        </is>
      </c>
      <c r="J51" s="5" t="inlineStr"/>
      <c r="K51" s="5" t="inlineStr">
        <is>
          <t>energy/force/stress MAE or RMSE</t>
        </is>
      </c>
      <c r="L51" s="5" t="inlineStr">
        <is>
          <t>DFT / reference data (see paper)</t>
        </is>
      </c>
      <c r="M51" s="6" t="inlineStr">
        <is>
          <t>10.1021/acs.jctc.5c00015</t>
        </is>
      </c>
      <c r="N51" s="7" t="inlineStr">
        <is>
          <t>https://doi.org/10.1021/acs.jctc.5c00015</t>
        </is>
      </c>
      <c r="O51" s="5" t="inlineStr"/>
      <c r="P51" s="5" t="inlineStr"/>
      <c r="Q51" s="5" t="inlineStr">
        <is>
          <t>Yes</t>
        </is>
      </c>
      <c r="R51" s="5" t="inlineStr">
        <is>
          <t>Unknown</t>
        </is>
      </c>
      <c r="S51" s="8" t="inlineStr">
        <is>
          <t>Existing Zotero bibliography; normalized</t>
        </is>
      </c>
      <c r="T51" s="10" t="inlineStr">
        <is>
          <t>B</t>
        </is>
      </c>
      <c r="U51" s="8" t="inlineStr">
        <is>
          <t>2026-09-29</t>
        </is>
      </c>
      <c r="V51" s="5" t="inlineStr">
        <is>
          <t>Yes</t>
        </is>
      </c>
      <c r="W51" s="5" t="inlineStr">
        <is>
          <t>Medium</t>
        </is>
      </c>
      <c r="X51" s="5" t="inlineStr"/>
    </row>
    <row r="52">
      <c r="A52" s="5" t="inlineStr">
        <is>
          <t>E064</t>
        </is>
      </c>
      <c r="B52" s="5" t="inlineStr">
        <is>
          <t>EWZ4DUE4</t>
        </is>
      </c>
      <c r="C52" s="5" t="inlineStr">
        <is>
          <t>Benchmarking Universal Machine Learning Interatomic Potentials for Real-Time Analysis of Inelastic Neutron Scattering Data</t>
        </is>
      </c>
      <c r="D52" s="5" t="inlineStr">
        <is>
          <t>2025</t>
        </is>
      </c>
      <c r="E52" s="5" t="inlineStr">
        <is>
          <t>Core benchmark study</t>
        </is>
      </c>
      <c r="F52" s="5" t="inlineStr">
        <is>
          <t>Core</t>
        </is>
      </c>
      <c r="G52" s="5" t="inlineStr">
        <is>
          <t>Phonons, vibrations and thermal</t>
        </is>
      </c>
      <c r="H52" s="5" t="inlineStr">
        <is>
          <t>Crystalline materials</t>
        </is>
      </c>
      <c r="I52" s="5" t="inlineStr">
        <is>
          <t>energy/force/stress accuracy</t>
        </is>
      </c>
      <c r="J52" s="5" t="inlineStr"/>
      <c r="K52" s="5" t="inlineStr">
        <is>
          <t>energy/force/stress MAE or RMSE</t>
        </is>
      </c>
      <c r="L52" s="5" t="inlineStr">
        <is>
          <t>DFT / reference data (see paper)</t>
        </is>
      </c>
      <c r="M52" s="6" t="inlineStr">
        <is>
          <t>10.48550/arXiv.2506.01860</t>
        </is>
      </c>
      <c r="N52" s="7" t="inlineStr">
        <is>
          <t>http://arxiv.org/abs/2506.01860</t>
        </is>
      </c>
      <c r="O52" s="5" t="inlineStr"/>
      <c r="P52" s="5" t="inlineStr"/>
      <c r="Q52" s="5" t="inlineStr">
        <is>
          <t>No</t>
        </is>
      </c>
      <c r="R52" s="5" t="inlineStr">
        <is>
          <t>Unknown</t>
        </is>
      </c>
      <c r="S52" s="8" t="inlineStr">
        <is>
          <t>Existing Zotero bibliography; normalized</t>
        </is>
      </c>
      <c r="T52" s="10" t="inlineStr">
        <is>
          <t>B</t>
        </is>
      </c>
      <c r="U52" s="8" t="inlineStr">
        <is>
          <t>2026-09-29</t>
        </is>
      </c>
      <c r="V52" s="5" t="inlineStr">
        <is>
          <t>Yes</t>
        </is>
      </c>
      <c r="W52" s="5" t="inlineStr">
        <is>
          <t>Medium</t>
        </is>
      </c>
      <c r="X52" s="5" t="inlineStr"/>
    </row>
    <row r="53">
      <c r="A53" s="5" t="inlineStr">
        <is>
          <t>E022</t>
        </is>
      </c>
      <c r="B53" s="5" t="inlineStr">
        <is>
          <t>RMZZQNP7</t>
        </is>
      </c>
      <c r="C53" s="5" t="inlineStr">
        <is>
          <t>PhononBench:A Large-Scale Phonon-Based Benchmark for Dynamical Stability in Crystal Generation</t>
        </is>
      </c>
      <c r="D53" s="5" t="inlineStr">
        <is>
          <t>2025</t>
        </is>
      </c>
      <c r="E53" s="5" t="inlineStr">
        <is>
          <t>Core benchmark study</t>
        </is>
      </c>
      <c r="F53" s="5" t="inlineStr">
        <is>
          <t>Core</t>
        </is>
      </c>
      <c r="G53" s="5" t="inlineStr">
        <is>
          <t>Phonons, vibrations and thermal</t>
        </is>
      </c>
      <c r="H53" s="5" t="inlineStr">
        <is>
          <t>Inorganic crystals</t>
        </is>
      </c>
      <c r="I53" s="5" t="inlineStr">
        <is>
          <t>energy/force/stress accuracy; molecular dynamics / stability; phonons / vibrational properties</t>
        </is>
      </c>
      <c r="J53" s="5" t="inlineStr"/>
      <c r="K53" s="5" t="inlineStr">
        <is>
          <t>energy/force/stress MAE or RMSE; trajectory stability / physical observables; phonon frequencies / stability</t>
        </is>
      </c>
      <c r="L53" s="5" t="inlineStr">
        <is>
          <t>DFT / reference data (see paper)</t>
        </is>
      </c>
      <c r="M53" s="6" t="inlineStr">
        <is>
          <t>10.48550/arXiv.2512.21227</t>
        </is>
      </c>
      <c r="N53" s="7" t="inlineStr">
        <is>
          <t>http://arxiv.org/abs/2512.21227</t>
        </is>
      </c>
      <c r="O53" s="5" t="inlineStr"/>
      <c r="P53" s="5" t="inlineStr"/>
      <c r="Q53" s="5" t="inlineStr">
        <is>
          <t>No</t>
        </is>
      </c>
      <c r="R53" s="5" t="inlineStr">
        <is>
          <t>Unknown</t>
        </is>
      </c>
      <c r="S53" s="8" t="inlineStr">
        <is>
          <t>Existing Zotero bibliography; normalized</t>
        </is>
      </c>
      <c r="T53" s="10" t="inlineStr">
        <is>
          <t>B</t>
        </is>
      </c>
      <c r="U53" s="8" t="inlineStr">
        <is>
          <t>2026-09-29</t>
        </is>
      </c>
      <c r="V53" s="5" t="inlineStr">
        <is>
          <t>Yes</t>
        </is>
      </c>
      <c r="W53" s="5" t="inlineStr">
        <is>
          <t>Medium</t>
        </is>
      </c>
      <c r="X53" s="5" t="inlineStr"/>
    </row>
    <row r="54">
      <c r="A54" s="5" t="inlineStr">
        <is>
          <t>E012</t>
        </is>
      </c>
      <c r="B54" s="5" t="inlineStr">
        <is>
          <t>EZ4ABSTS</t>
        </is>
      </c>
      <c r="C54" s="5" t="inlineStr">
        <is>
          <t>Thermal Conductivity Predictions with Foundation Atomistic Models</t>
        </is>
      </c>
      <c r="D54" s="5" t="inlineStr">
        <is>
          <t>2025</t>
        </is>
      </c>
      <c r="E54" s="5" t="inlineStr">
        <is>
          <t>Core benchmark study</t>
        </is>
      </c>
      <c r="F54" s="5" t="inlineStr">
        <is>
          <t>Core</t>
        </is>
      </c>
      <c r="G54" s="5" t="inlineStr">
        <is>
          <t>Phonons, vibrations and thermal</t>
        </is>
      </c>
      <c r="H54" s="5" t="inlineStr">
        <is>
          <t>Inorganic crystals</t>
        </is>
      </c>
      <c r="I54" s="5" t="inlineStr">
        <is>
          <t>Anharmonic heat transport; thermal expansion</t>
        </is>
      </c>
      <c r="J54" s="5" t="inlineStr"/>
      <c r="K54" s="5" t="inlineStr">
        <is>
          <t>Thermal conductivity; Gruneisen/thermal expansion errors</t>
        </is>
      </c>
      <c r="L54" s="5" t="inlineStr">
        <is>
          <t>DFT / reference data (see paper)</t>
        </is>
      </c>
      <c r="M54" s="6" t="inlineStr">
        <is>
          <t>10.48550/arXiv.2408.00755</t>
        </is>
      </c>
      <c r="N54" s="7" t="inlineStr">
        <is>
          <t>http://arxiv.org/abs/2408.00755</t>
        </is>
      </c>
      <c r="O54" s="5" t="inlineStr"/>
      <c r="P54" s="5" t="inlineStr"/>
      <c r="Q54" s="5" t="inlineStr">
        <is>
          <t>No</t>
        </is>
      </c>
      <c r="R54" s="5" t="inlineStr">
        <is>
          <t>Unknown</t>
        </is>
      </c>
      <c r="S54" s="8" t="inlineStr">
        <is>
          <t>Existing Zotero bibliography; normalized</t>
        </is>
      </c>
      <c r="T54" s="10" t="inlineStr">
        <is>
          <t>B</t>
        </is>
      </c>
      <c r="U54" s="8" t="inlineStr">
        <is>
          <t>2026-09-29</t>
        </is>
      </c>
      <c r="V54" s="5" t="inlineStr">
        <is>
          <t>Yes</t>
        </is>
      </c>
      <c r="W54" s="5" t="inlineStr">
        <is>
          <t>High</t>
        </is>
      </c>
      <c r="X54" s="5" t="inlineStr"/>
    </row>
    <row r="55">
      <c r="A55" s="5" t="inlineStr">
        <is>
          <t>E011</t>
        </is>
      </c>
      <c r="B55" s="5" t="inlineStr">
        <is>
          <t>BLHW3CF7</t>
        </is>
      </c>
      <c r="C55" s="5" t="inlineStr">
        <is>
          <t>Universal machine learning interatomic potentials are ready for phonons</t>
        </is>
      </c>
      <c r="D55" s="5" t="inlineStr">
        <is>
          <t>2025</t>
        </is>
      </c>
      <c r="E55" s="5" t="inlineStr">
        <is>
          <t>Core benchmark study</t>
        </is>
      </c>
      <c r="F55" s="5" t="inlineStr">
        <is>
          <t>Core</t>
        </is>
      </c>
      <c r="G55" s="5" t="inlineStr">
        <is>
          <t>Phonons, vibrations and thermal</t>
        </is>
      </c>
      <c r="H55" s="5" t="inlineStr">
        <is>
          <t>~10,000 inorganic crystals</t>
        </is>
      </c>
      <c r="I55" s="5" t="inlineStr">
        <is>
          <t>Harmonic phonon properties</t>
        </is>
      </c>
      <c r="J55" s="5" t="inlineStr"/>
      <c r="K55" s="5" t="inlineStr">
        <is>
          <t>Phonon frequency / stability / derived harmonic-property errors</t>
        </is>
      </c>
      <c r="L55" s="5" t="inlineStr">
        <is>
          <t>DFT / reference data (see paper)</t>
        </is>
      </c>
      <c r="M55" s="6" t="inlineStr">
        <is>
          <t>10.1038/s41524-025-01650-1</t>
        </is>
      </c>
      <c r="N55" s="7" t="inlineStr">
        <is>
          <t>https://www.nature.com/articles/s41524-025-01650-1</t>
        </is>
      </c>
      <c r="O55" s="5" t="inlineStr"/>
      <c r="P55" s="5" t="inlineStr"/>
      <c r="Q55" s="5" t="inlineStr">
        <is>
          <t>Yes</t>
        </is>
      </c>
      <c r="R55" s="5" t="inlineStr">
        <is>
          <t>Unknown</t>
        </is>
      </c>
      <c r="S55" s="8" t="inlineStr">
        <is>
          <t>Existing Zotero bibliography; normalized</t>
        </is>
      </c>
      <c r="T55" s="10" t="inlineStr">
        <is>
          <t>B</t>
        </is>
      </c>
      <c r="U55" s="8" t="inlineStr">
        <is>
          <t>2026-09-29</t>
        </is>
      </c>
      <c r="V55" s="5" t="inlineStr">
        <is>
          <t>Yes</t>
        </is>
      </c>
      <c r="W55" s="5" t="inlineStr">
        <is>
          <t>High</t>
        </is>
      </c>
      <c r="X55" s="5" t="inlineStr"/>
    </row>
    <row r="56">
      <c r="A56" s="5" t="inlineStr">
        <is>
          <t>E030</t>
        </is>
      </c>
      <c r="B56" s="5" t="inlineStr">
        <is>
          <t>T5QUM95R</t>
        </is>
      </c>
      <c r="C56" s="5" t="inlineStr">
        <is>
          <t>CatBench framework for benchmarking machine learning interatomic potentials in adsorption energy predictions for heterogeneous catalysis</t>
        </is>
      </c>
      <c r="D56" s="5" t="inlineStr">
        <is>
          <t>2025</t>
        </is>
      </c>
      <c r="E56" s="5" t="inlineStr">
        <is>
          <t>Benchmark suite + study</t>
        </is>
      </c>
      <c r="F56" s="5" t="inlineStr">
        <is>
          <t>Core</t>
        </is>
      </c>
      <c r="G56" s="5" t="inlineStr">
        <is>
          <t>Surfaces, interfaces and catalysis</t>
        </is>
      </c>
      <c r="H56" s="5" t="inlineStr">
        <is>
          <t>Heterogeneous catalysis surfaces</t>
        </is>
      </c>
      <c r="I56" s="5" t="inlineStr">
        <is>
          <t>Adsorption energies; relaxation anomaly handling</t>
        </is>
      </c>
      <c r="J56" s="5" t="inlineStr"/>
      <c r="K56" s="5" t="inlineStr">
        <is>
          <t>Adsorption-energy error; relaxation success/anomalies</t>
        </is>
      </c>
      <c r="L56" s="5" t="inlineStr">
        <is>
          <t>DFT / reference data (see paper)</t>
        </is>
      </c>
      <c r="M56" s="6" t="inlineStr">
        <is>
          <t>10.1016/j.xcrp.2025.102968</t>
        </is>
      </c>
      <c r="N56" s="7" t="inlineStr">
        <is>
          <t>https://www.cell.com/cell-reports-physical-science/abstract/S2666-3864(25)00567-3</t>
        </is>
      </c>
      <c r="O56" s="5" t="inlineStr"/>
      <c r="P56" s="5" t="inlineStr"/>
      <c r="Q56" s="5" t="inlineStr">
        <is>
          <t>Yes</t>
        </is>
      </c>
      <c r="R56" s="5" t="inlineStr">
        <is>
          <t>Unknown</t>
        </is>
      </c>
      <c r="S56" s="8" t="inlineStr">
        <is>
          <t>Existing Zotero bibliography; normalized</t>
        </is>
      </c>
      <c r="T56" s="10" t="inlineStr">
        <is>
          <t>B</t>
        </is>
      </c>
      <c r="U56" s="8" t="inlineStr">
        <is>
          <t>2026-09-29</t>
        </is>
      </c>
      <c r="V56" s="5" t="inlineStr">
        <is>
          <t>Yes</t>
        </is>
      </c>
      <c r="W56" s="5" t="inlineStr">
        <is>
          <t>High</t>
        </is>
      </c>
      <c r="X56" s="5" t="inlineStr"/>
    </row>
    <row r="57">
      <c r="A57" s="5" t="inlineStr">
        <is>
          <t>E037</t>
        </is>
      </c>
      <c r="B57" s="5" t="inlineStr">
        <is>
          <t>GB4WUGH4</t>
        </is>
      </c>
      <c r="C57" s="5" t="inlineStr">
        <is>
          <t>Performance Assessment of Universal Machine Learning Interatomic Potentials: Challenges and Directions for Materials' Surfaces</t>
        </is>
      </c>
      <c r="D57" s="5" t="inlineStr">
        <is>
          <t>2025</t>
        </is>
      </c>
      <c r="E57" s="5" t="inlineStr">
        <is>
          <t>Core benchmark study</t>
        </is>
      </c>
      <c r="F57" s="5" t="inlineStr">
        <is>
          <t>Core</t>
        </is>
      </c>
      <c r="G57" s="5" t="inlineStr">
        <is>
          <t>Surfaces, interfaces and catalysis</t>
        </is>
      </c>
      <c r="H57" s="5" t="inlineStr">
        <is>
          <t>Surfaces / interfaces / catalysts</t>
        </is>
      </c>
      <c r="I57" s="5" t="inlineStr">
        <is>
          <t>energy/force/stress accuracy; surface / adsorption / catalysis</t>
        </is>
      </c>
      <c r="J57" s="5" t="inlineStr"/>
      <c r="K57" s="5" t="inlineStr">
        <is>
          <t>energy/force/stress MAE or RMSE</t>
        </is>
      </c>
      <c r="L57" s="5" t="inlineStr">
        <is>
          <t>DFT / reference data (see paper)</t>
        </is>
      </c>
      <c r="M57" s="6" t="inlineStr">
        <is>
          <t>10.1021/acsami.4c03815</t>
        </is>
      </c>
      <c r="N57" s="7" t="inlineStr">
        <is>
          <t>https://doi.org/10.1021/acsami.4c03815</t>
        </is>
      </c>
      <c r="O57" s="5" t="inlineStr"/>
      <c r="P57" s="5" t="inlineStr"/>
      <c r="Q57" s="5" t="inlineStr">
        <is>
          <t>Yes</t>
        </is>
      </c>
      <c r="R57" s="5" t="inlineStr">
        <is>
          <t>Unknown</t>
        </is>
      </c>
      <c r="S57" s="8" t="inlineStr">
        <is>
          <t>Existing Zotero bibliography; normalized</t>
        </is>
      </c>
      <c r="T57" s="10" t="inlineStr">
        <is>
          <t>B</t>
        </is>
      </c>
      <c r="U57" s="8" t="inlineStr">
        <is>
          <t>2026-09-29</t>
        </is>
      </c>
      <c r="V57" s="5" t="inlineStr">
        <is>
          <t>Yes</t>
        </is>
      </c>
      <c r="W57" s="5" t="inlineStr">
        <is>
          <t>Medium</t>
        </is>
      </c>
      <c r="X57" s="5" t="inlineStr"/>
    </row>
    <row r="58">
      <c r="A58" s="5" t="inlineStr">
        <is>
          <t>E042</t>
        </is>
      </c>
      <c r="B58" s="5" t="inlineStr">
        <is>
          <t>8DQY9TC9</t>
        </is>
      </c>
      <c r="C58" s="5" t="inlineStr">
        <is>
          <t>Surface stability modeling with universal machine learning interatomic potentials: a comprehensive cleavage energy benchmarking study</t>
        </is>
      </c>
      <c r="D58" s="5" t="inlineStr">
        <is>
          <t>2025</t>
        </is>
      </c>
      <c r="E58" s="5" t="inlineStr">
        <is>
          <t>Core benchmark study</t>
        </is>
      </c>
      <c r="F58" s="5" t="inlineStr">
        <is>
          <t>Core</t>
        </is>
      </c>
      <c r="G58" s="5" t="inlineStr">
        <is>
          <t>Surfaces, interfaces and catalysis</t>
        </is>
      </c>
      <c r="H58" s="5" t="inlineStr">
        <is>
          <t>Surfaces / interfaces / catalysts</t>
        </is>
      </c>
      <c r="I58" s="5" t="inlineStr">
        <is>
          <t>energy/force/stress accuracy; surface / adsorption / catalysis</t>
        </is>
      </c>
      <c r="J58" s="5" t="inlineStr"/>
      <c r="K58" s="5" t="inlineStr">
        <is>
          <t>energy/force/stress MAE or RMSE</t>
        </is>
      </c>
      <c r="L58" s="5" t="inlineStr">
        <is>
          <t>DFT / reference data (see paper)</t>
        </is>
      </c>
      <c r="M58" s="6" t="inlineStr">
        <is>
          <t>10.1088/3050-287X/ae1408</t>
        </is>
      </c>
      <c r="N58" s="7" t="inlineStr">
        <is>
          <t>https://doi.org/10.1088/3050-287X/ae1408</t>
        </is>
      </c>
      <c r="O58" s="5" t="inlineStr"/>
      <c r="P58" s="5" t="inlineStr"/>
      <c r="Q58" s="5" t="inlineStr">
        <is>
          <t>Yes</t>
        </is>
      </c>
      <c r="R58" s="5" t="inlineStr">
        <is>
          <t>Unknown</t>
        </is>
      </c>
      <c r="S58" s="8" t="inlineStr">
        <is>
          <t>Existing Zotero bibliography; normalized</t>
        </is>
      </c>
      <c r="T58" s="10" t="inlineStr">
        <is>
          <t>B</t>
        </is>
      </c>
      <c r="U58" s="8" t="inlineStr">
        <is>
          <t>2026-09-29</t>
        </is>
      </c>
      <c r="V58" s="5" t="inlineStr">
        <is>
          <t>Yes</t>
        </is>
      </c>
      <c r="W58" s="5" t="inlineStr">
        <is>
          <t>Medium</t>
        </is>
      </c>
      <c r="X58" s="5" t="inlineStr"/>
    </row>
    <row r="59">
      <c r="A59" s="5" t="inlineStr">
        <is>
          <t>N037</t>
        </is>
      </c>
      <c r="B59" s="5" t="inlineStr"/>
      <c r="C59" s="5" t="inlineStr">
        <is>
          <t>Machine learning potentials for alloys: a detailed workflow to predict phase diagrams and benchmark accuracy</t>
        </is>
      </c>
      <c r="D59" s="5" t="inlineStr">
        <is>
          <t>2025</t>
        </is>
      </c>
      <c r="E59" s="5" t="inlineStr">
        <is>
          <t>Application benchmark study</t>
        </is>
      </c>
      <c r="F59" s="5" t="inlineStr">
        <is>
          <t>Core</t>
        </is>
      </c>
      <c r="G59" s="5" t="inlineStr">
        <is>
          <t>Thermodynamics and phase diagrams</t>
        </is>
      </c>
      <c r="H59" s="5" t="inlineStr">
        <is>
          <t>Binary and multicomponent alloys</t>
        </is>
      </c>
      <c r="I59" s="5" t="inlineStr">
        <is>
          <t>Phase-diagram prediction; CALPHAD integration; phase classification</t>
        </is>
      </c>
      <c r="J59" s="5" t="inlineStr">
        <is>
          <t>GRACE; SevenNet; CHGNet and others</t>
        </is>
      </c>
      <c r="K59" s="5" t="inlineStr">
        <is>
          <t>Accuracy; precision; recall; F1 of phase regions; topology agreement</t>
        </is>
      </c>
      <c r="L59" s="5" t="inlineStr">
        <is>
          <t>VASP / CALPHAD</t>
        </is>
      </c>
      <c r="M59" s="6" t="inlineStr">
        <is>
          <t>10.1038/s41524-025-01814-z</t>
        </is>
      </c>
      <c r="N59" s="7" t="inlineStr">
        <is>
          <t>https://doi.org/10.1038/s41524-025-01814-z</t>
        </is>
      </c>
      <c r="O59" s="5" t="inlineStr"/>
      <c r="P59" s="5" t="inlineStr"/>
      <c r="Q59" s="5" t="inlineStr">
        <is>
          <t>Yes</t>
        </is>
      </c>
      <c r="R59" s="5" t="inlineStr">
        <is>
          <t>Unknown</t>
        </is>
      </c>
      <c r="S59" s="8" t="inlineStr">
        <is>
          <t>New literature sweep; web-verified</t>
        </is>
      </c>
      <c r="T59" s="9" t="inlineStr">
        <is>
          <t>A</t>
        </is>
      </c>
      <c r="U59" s="8" t="inlineStr">
        <is>
          <t>2026-09-29</t>
        </is>
      </c>
      <c r="V59" s="5" t="inlineStr">
        <is>
          <t>No</t>
        </is>
      </c>
      <c r="W59" s="5" t="inlineStr">
        <is>
          <t>High</t>
        </is>
      </c>
      <c r="X59" s="5" t="inlineStr">
        <is>
          <t>PhaseForge turns phase-diagram topology into an application-level MLIP benchmark.</t>
        </is>
      </c>
    </row>
    <row r="60">
      <c r="A60" s="5" t="inlineStr">
        <is>
          <t>E053</t>
        </is>
      </c>
      <c r="B60" s="5" t="inlineStr">
        <is>
          <t>XLAJ9P5X</t>
        </is>
      </c>
      <c r="C60" s="5" t="inlineStr">
        <is>
          <t>JARVIS-Leaderboard: a large scale benchmark of materials design methods</t>
        </is>
      </c>
      <c r="D60" s="5" t="inlineStr">
        <is>
          <t>2024</t>
        </is>
      </c>
      <c r="E60" s="5" t="inlineStr">
        <is>
          <t>Benchmark suite/platform</t>
        </is>
      </c>
      <c r="F60" s="5" t="inlineStr">
        <is>
          <t>Core</t>
        </is>
      </c>
      <c r="G60" s="5" t="inlineStr">
        <is>
          <t>Benchmark suites and platforms</t>
        </is>
      </c>
      <c r="H60" s="5" t="inlineStr">
        <is>
          <t>Broad / mixed atomistic systems</t>
        </is>
      </c>
      <c r="I60" s="5" t="inlineStr">
        <is>
          <t>energy/force/stress accuracy</t>
        </is>
      </c>
      <c r="J60" s="5" t="inlineStr"/>
      <c r="K60" s="5" t="inlineStr">
        <is>
          <t>energy/force/stress MAE or RMSE</t>
        </is>
      </c>
      <c r="L60" s="5" t="inlineStr">
        <is>
          <t>DFT / reference data (see paper)</t>
        </is>
      </c>
      <c r="M60" s="6" t="inlineStr">
        <is>
          <t>10.1038/s41524-024-01259-w</t>
        </is>
      </c>
      <c r="N60" s="7" t="inlineStr">
        <is>
          <t>https://www.nature.com/articles/s41524-024-01259-w</t>
        </is>
      </c>
      <c r="O60" s="5" t="inlineStr"/>
      <c r="P60" s="5" t="inlineStr"/>
      <c r="Q60" s="5" t="inlineStr">
        <is>
          <t>Yes</t>
        </is>
      </c>
      <c r="R60" s="5" t="inlineStr">
        <is>
          <t>Unknown</t>
        </is>
      </c>
      <c r="S60" s="8" t="inlineStr">
        <is>
          <t>Existing Zotero bibliography; normalized</t>
        </is>
      </c>
      <c r="T60" s="10" t="inlineStr">
        <is>
          <t>B</t>
        </is>
      </c>
      <c r="U60" s="8" t="inlineStr">
        <is>
          <t>2026-09-29</t>
        </is>
      </c>
      <c r="V60" s="5" t="inlineStr">
        <is>
          <t>Yes</t>
        </is>
      </c>
      <c r="W60" s="5" t="inlineStr">
        <is>
          <t>Medium</t>
        </is>
      </c>
      <c r="X60" s="5" t="inlineStr"/>
    </row>
    <row r="61">
      <c r="A61" s="5" t="inlineStr">
        <is>
          <t>E034</t>
        </is>
      </c>
      <c r="B61" s="5" t="inlineStr">
        <is>
          <t>DT9YS7IV</t>
        </is>
      </c>
      <c r="C61" s="5" t="inlineStr">
        <is>
          <t>ECD: A Machine Learning Benchmark for Predicting Enhanced-Precision Electronic Charge Density in Crystalline Inorganic Materials</t>
        </is>
      </c>
      <c r="D61" s="5" t="inlineStr">
        <is>
          <t>2024</t>
        </is>
      </c>
      <c r="E61" s="5" t="inlineStr">
        <is>
          <t>Core benchmark study</t>
        </is>
      </c>
      <c r="F61" s="5" t="inlineStr">
        <is>
          <t>Core</t>
        </is>
      </c>
      <c r="G61" s="5" t="inlineStr">
        <is>
          <t>Broader atomistic ML benchmarks</t>
        </is>
      </c>
      <c r="H61" s="5" t="inlineStr">
        <is>
          <t>Inorganic crystals</t>
        </is>
      </c>
      <c r="I61" s="5" t="inlineStr">
        <is>
          <t>energy/force/stress accuracy</t>
        </is>
      </c>
      <c r="J61" s="5" t="inlineStr"/>
      <c r="K61" s="5" t="inlineStr">
        <is>
          <t>energy/force/stress MAE or RMSE</t>
        </is>
      </c>
      <c r="L61" s="5" t="inlineStr">
        <is>
          <t>DFT / reference data (see paper)</t>
        </is>
      </c>
      <c r="M61" s="5" t="inlineStr"/>
      <c r="N61" s="7" t="inlineStr">
        <is>
          <t>https://openreview.net/forum?id=SBCMNc3Mq3</t>
        </is>
      </c>
      <c r="O61" s="5" t="inlineStr"/>
      <c r="P61" s="5" t="inlineStr"/>
      <c r="Q61" s="5" t="inlineStr">
        <is>
          <t>Unknown</t>
        </is>
      </c>
      <c r="R61" s="5" t="inlineStr">
        <is>
          <t>Unknown</t>
        </is>
      </c>
      <c r="S61" s="8" t="inlineStr">
        <is>
          <t>Existing Zotero bibliography; normalized</t>
        </is>
      </c>
      <c r="T61" s="10" t="inlineStr">
        <is>
          <t>B</t>
        </is>
      </c>
      <c r="U61" s="8" t="inlineStr">
        <is>
          <t>2026-09-29</t>
        </is>
      </c>
      <c r="V61" s="5" t="inlineStr">
        <is>
          <t>Yes</t>
        </is>
      </c>
      <c r="W61" s="5" t="inlineStr">
        <is>
          <t>Medium</t>
        </is>
      </c>
      <c r="X61" s="5" t="inlineStr"/>
    </row>
    <row r="62">
      <c r="A62" s="5" t="inlineStr">
        <is>
          <t>N015</t>
        </is>
      </c>
      <c r="B62" s="5" t="inlineStr"/>
      <c r="C62" s="5" t="inlineStr">
        <is>
          <t>Efficiency, accuracy, and transferability of machine learning potentials: Application to dislocations and cracks in iron</t>
        </is>
      </c>
      <c r="D62" s="5" t="inlineStr">
        <is>
          <t>2024</t>
        </is>
      </c>
      <c r="E62" s="5" t="inlineStr">
        <is>
          <t>Core benchmark study</t>
        </is>
      </c>
      <c r="F62" s="5" t="inlineStr">
        <is>
          <t>Core</t>
        </is>
      </c>
      <c r="G62" s="5" t="inlineStr">
        <is>
          <t>Defects, disorder and dimensionality</t>
        </is>
      </c>
      <c r="H62" s="5" t="inlineStr">
        <is>
          <t>BCC iron</t>
        </is>
      </c>
      <c r="I62" s="5" t="inlineStr">
        <is>
          <t>Dislocations; cracks; fracture; uncertainty; efficiency</t>
        </is>
      </c>
      <c r="J62" s="5" t="inlineStr">
        <is>
          <t>Four MLIP packages</t>
        </is>
      </c>
      <c r="K62" s="5" t="inlineStr">
        <is>
          <t>RMSE; property error Q; Peierls barrier; traction-separation; KIc; speed</t>
        </is>
      </c>
      <c r="L62" s="5" t="inlineStr">
        <is>
          <t>DFT</t>
        </is>
      </c>
      <c r="M62" s="6" t="inlineStr">
        <is>
          <t>10.1016/j.actamat.2024.119788</t>
        </is>
      </c>
      <c r="N62" s="7" t="inlineStr">
        <is>
          <t>https://doi.org/10.1016/j.actamat.2024.119788</t>
        </is>
      </c>
      <c r="O62" s="7" t="inlineStr">
        <is>
          <t>https://github.com/leiapple/Potential_benchmark_iron</t>
        </is>
      </c>
      <c r="P62" s="5" t="inlineStr"/>
      <c r="Q62" s="5" t="inlineStr">
        <is>
          <t>Yes</t>
        </is>
      </c>
      <c r="R62" s="5" t="inlineStr">
        <is>
          <t>Yes</t>
        </is>
      </c>
      <c r="S62" s="8" t="inlineStr">
        <is>
          <t>New literature sweep; web-verified</t>
        </is>
      </c>
      <c r="T62" s="9" t="inlineStr">
        <is>
          <t>A</t>
        </is>
      </c>
      <c r="U62" s="8" t="inlineStr">
        <is>
          <t>2026-09-29</t>
        </is>
      </c>
      <c r="V62" s="5" t="inlineStr">
        <is>
          <t>No</t>
        </is>
      </c>
      <c r="W62" s="5" t="inlineStr">
        <is>
          <t>High</t>
        </is>
      </c>
      <c r="X62" s="5" t="inlineStr">
        <is>
          <t>Three-stage validation from test error to defect transferability.</t>
        </is>
      </c>
    </row>
    <row r="63">
      <c r="A63" s="5" t="inlineStr">
        <is>
          <t>E075</t>
        </is>
      </c>
      <c r="B63" s="5" t="inlineStr">
        <is>
          <t>TEXWWL6D</t>
        </is>
      </c>
      <c r="C63" s="5" t="inlineStr">
        <is>
          <t>Hydrogen under Pressure as a Benchmark for Machine-Learning Interatomic Potentials</t>
        </is>
      </c>
      <c r="D63" s="5" t="inlineStr">
        <is>
          <t>2024</t>
        </is>
      </c>
      <c r="E63" s="5" t="inlineStr">
        <is>
          <t>Core benchmark study</t>
        </is>
      </c>
      <c r="F63" s="5" t="inlineStr">
        <is>
          <t>Core</t>
        </is>
      </c>
      <c r="G63" s="5" t="inlineStr">
        <is>
          <t>Defects, disorder and dimensionality</t>
        </is>
      </c>
      <c r="H63" s="5" t="inlineStr">
        <is>
          <t>Broad / mixed atomistic systems</t>
        </is>
      </c>
      <c r="I63" s="5" t="inlineStr">
        <is>
          <t>energy/force/stress accuracy</t>
        </is>
      </c>
      <c r="J63" s="5" t="inlineStr"/>
      <c r="K63" s="5" t="inlineStr">
        <is>
          <t>energy/force/stress MAE or RMSE</t>
        </is>
      </c>
      <c r="L63" s="5" t="inlineStr">
        <is>
          <t>DFT / reference data (see paper)</t>
        </is>
      </c>
      <c r="M63" s="5" t="inlineStr"/>
      <c r="N63" s="7" t="inlineStr">
        <is>
          <t>https://arxiv.org/abs/2409.13390v1</t>
        </is>
      </c>
      <c r="O63" s="5" t="inlineStr"/>
      <c r="P63" s="5" t="inlineStr"/>
      <c r="Q63" s="5" t="inlineStr">
        <is>
          <t>Unknown</t>
        </is>
      </c>
      <c r="R63" s="5" t="inlineStr">
        <is>
          <t>Unknown</t>
        </is>
      </c>
      <c r="S63" s="8" t="inlineStr">
        <is>
          <t>Existing Zotero bibliography; normalized</t>
        </is>
      </c>
      <c r="T63" s="10" t="inlineStr">
        <is>
          <t>B</t>
        </is>
      </c>
      <c r="U63" s="8" t="inlineStr">
        <is>
          <t>2026-09-29</t>
        </is>
      </c>
      <c r="V63" s="5" t="inlineStr">
        <is>
          <t>Yes</t>
        </is>
      </c>
      <c r="W63" s="5" t="inlineStr">
        <is>
          <t>Medium</t>
        </is>
      </c>
      <c r="X63" s="5" t="inlineStr"/>
    </row>
    <row r="64">
      <c r="A64" s="5" t="inlineStr">
        <is>
          <t>N023</t>
        </is>
      </c>
      <c r="B64" s="5" t="inlineStr"/>
      <c r="C64" s="5" t="inlineStr">
        <is>
          <t>Complexity of many-body interactions in transition metals via machine-learned force fields from the TM23 data set</t>
        </is>
      </c>
      <c r="D64" s="5" t="inlineStr">
        <is>
          <t>2024</t>
        </is>
      </c>
      <c r="E64" s="5" t="inlineStr">
        <is>
          <t>Benchmark dataset + study</t>
        </is>
      </c>
      <c r="F64" s="5" t="inlineStr">
        <is>
          <t>Core</t>
        </is>
      </c>
      <c r="G64" s="5" t="inlineStr">
        <is>
          <t>Foundation datasets and model ecosystems</t>
        </is>
      </c>
      <c r="H64" s="5" t="inlineStr">
        <is>
          <t>Transition metals</t>
        </is>
      </c>
      <c r="I64" s="5" t="inlineStr">
        <is>
          <t>Element-wise force-field learnability; many-body complexity</t>
        </is>
      </c>
      <c r="J64" s="5" t="inlineStr">
        <is>
          <t>Multiple MLFF architectures</t>
        </is>
      </c>
      <c r="K64" s="5" t="inlineStr">
        <is>
          <t>Energy/force errors; complexity trends</t>
        </is>
      </c>
      <c r="L64" s="5" t="inlineStr">
        <is>
          <t>DFT</t>
        </is>
      </c>
      <c r="M64" s="6" t="inlineStr">
        <is>
          <t>10.1038/s41524-024-01264-z</t>
        </is>
      </c>
      <c r="N64" s="7" t="inlineStr">
        <is>
          <t>https://doi.org/10.1038/s41524-024-01264-z</t>
        </is>
      </c>
      <c r="O64" s="5" t="inlineStr"/>
      <c r="P64" s="5" t="inlineStr"/>
      <c r="Q64" s="5" t="inlineStr">
        <is>
          <t>Yes</t>
        </is>
      </c>
      <c r="R64" s="5" t="inlineStr">
        <is>
          <t>Unknown</t>
        </is>
      </c>
      <c r="S64" s="8" t="inlineStr">
        <is>
          <t>New literature sweep; web-verified</t>
        </is>
      </c>
      <c r="T64" s="9" t="inlineStr">
        <is>
          <t>A</t>
        </is>
      </c>
      <c r="U64" s="8" t="inlineStr">
        <is>
          <t>2026-09-29</t>
        </is>
      </c>
      <c r="V64" s="5" t="inlineStr">
        <is>
          <t>No</t>
        </is>
      </c>
      <c r="W64" s="5" t="inlineStr">
        <is>
          <t>High</t>
        </is>
      </c>
      <c r="X64" s="5" t="inlineStr">
        <is>
          <t>TM23 is a widely used elemental-transition-metal stress test.</t>
        </is>
      </c>
    </row>
    <row r="65">
      <c r="A65" s="5" t="inlineStr">
        <is>
          <t>E059</t>
        </is>
      </c>
      <c r="B65" s="5" t="inlineStr">
        <is>
          <t>GXSFQBJY</t>
        </is>
      </c>
      <c r="C65" s="5" t="inlineStr">
        <is>
          <t>Benchmarking of Universal Machine Learning Interatomic Potentials for Structural Relaxation</t>
        </is>
      </c>
      <c r="D65" s="5" t="inlineStr">
        <is>
          <t>2024</t>
        </is>
      </c>
      <c r="E65" s="5" t="inlineStr">
        <is>
          <t>Core benchmark study</t>
        </is>
      </c>
      <c r="F65" s="5" t="inlineStr">
        <is>
          <t>Core</t>
        </is>
      </c>
      <c r="G65" s="5" t="inlineStr">
        <is>
          <t>General and foundation MLIP evaluation</t>
        </is>
      </c>
      <c r="H65" s="5" t="inlineStr">
        <is>
          <t>Inorganic crystal structures</t>
        </is>
      </c>
      <c r="I65" s="5" t="inlineStr">
        <is>
          <t>Structural relaxation; downstream workflow behavior</t>
        </is>
      </c>
      <c r="J65" s="5" t="inlineStr"/>
      <c r="K65" s="5" t="inlineStr">
        <is>
          <t>Relaxation trajectories; convergence/behavior differences across CHGNet, M3GNet and MACE</t>
        </is>
      </c>
      <c r="L65" s="5" t="inlineStr">
        <is>
          <t>DFT / reference data (see paper)</t>
        </is>
      </c>
      <c r="M65" s="5" t="inlineStr"/>
      <c r="N65" s="7" t="inlineStr">
        <is>
          <t>https://openreview.net/forum?id=fNyXCCZ0g6</t>
        </is>
      </c>
      <c r="O65" s="5" t="inlineStr"/>
      <c r="P65" s="5" t="inlineStr"/>
      <c r="Q65" s="5" t="inlineStr">
        <is>
          <t>Unknown</t>
        </is>
      </c>
      <c r="R65" s="5" t="inlineStr">
        <is>
          <t>Unknown</t>
        </is>
      </c>
      <c r="S65" s="8" t="inlineStr">
        <is>
          <t>Existing Zotero bibliography; normalized</t>
        </is>
      </c>
      <c r="T65" s="10" t="inlineStr">
        <is>
          <t>B</t>
        </is>
      </c>
      <c r="U65" s="8" t="inlineStr">
        <is>
          <t>2026-09-29</t>
        </is>
      </c>
      <c r="V65" s="5" t="inlineStr">
        <is>
          <t>Yes</t>
        </is>
      </c>
      <c r="W65" s="5" t="inlineStr">
        <is>
          <t>High</t>
        </is>
      </c>
      <c r="X65" s="5" t="inlineStr"/>
    </row>
    <row r="66">
      <c r="A66" s="5" t="inlineStr">
        <is>
          <t>E033</t>
        </is>
      </c>
      <c r="B66" s="5" t="inlineStr">
        <is>
          <t>YWJHX9US</t>
        </is>
      </c>
      <c r="C66" s="5" t="inlineStr">
        <is>
          <t>Structure-based out-of-distribution (OOD) materials property prediction: a benchmark study</t>
        </is>
      </c>
      <c r="D66" s="5" t="inlineStr">
        <is>
          <t>2024</t>
        </is>
      </c>
      <c r="E66" s="5" t="inlineStr">
        <is>
          <t>Core benchmark study</t>
        </is>
      </c>
      <c r="F66" s="5" t="inlineStr">
        <is>
          <t>Core</t>
        </is>
      </c>
      <c r="G66" s="5" t="inlineStr">
        <is>
          <t>General and foundation MLIP evaluation</t>
        </is>
      </c>
      <c r="H66" s="5" t="inlineStr">
        <is>
          <t>Broad / mixed atomistic systems</t>
        </is>
      </c>
      <c r="I66" s="5" t="inlineStr">
        <is>
          <t>energy/force/stress accuracy; structure relaxation / PES search</t>
        </is>
      </c>
      <c r="J66" s="5" t="inlineStr"/>
      <c r="K66" s="5" t="inlineStr">
        <is>
          <t>energy/force/stress MAE or RMSE; structural distance / relaxation success</t>
        </is>
      </c>
      <c r="L66" s="5" t="inlineStr">
        <is>
          <t>DFT / reference data (see paper)</t>
        </is>
      </c>
      <c r="M66" s="6" t="inlineStr">
        <is>
          <t>10.1038/s41524-024-01316-4</t>
        </is>
      </c>
      <c r="N66" s="7" t="inlineStr">
        <is>
          <t>https://www.nature.com/articles/s41524-024-01316-4</t>
        </is>
      </c>
      <c r="O66" s="5" t="inlineStr"/>
      <c r="P66" s="5" t="inlineStr"/>
      <c r="Q66" s="5" t="inlineStr">
        <is>
          <t>Yes</t>
        </is>
      </c>
      <c r="R66" s="5" t="inlineStr">
        <is>
          <t>Unknown</t>
        </is>
      </c>
      <c r="S66" s="8" t="inlineStr">
        <is>
          <t>Existing Zotero bibliography; normalized</t>
        </is>
      </c>
      <c r="T66" s="10" t="inlineStr">
        <is>
          <t>B</t>
        </is>
      </c>
      <c r="U66" s="8" t="inlineStr">
        <is>
          <t>2026-09-29</t>
        </is>
      </c>
      <c r="V66" s="5" t="inlineStr">
        <is>
          <t>Yes</t>
        </is>
      </c>
      <c r="W66" s="5" t="inlineStr">
        <is>
          <t>Medium</t>
        </is>
      </c>
      <c r="X66" s="5" t="inlineStr"/>
    </row>
    <row r="67">
      <c r="A67" s="5" t="inlineStr">
        <is>
          <t>E083</t>
        </is>
      </c>
      <c r="B67" s="5" t="inlineStr">
        <is>
          <t>IWVZCFPG</t>
        </is>
      </c>
      <c r="C67" s="5" t="inlineStr">
        <is>
          <t>Systematic assessment of various universal machine-learning interatomic potentials</t>
        </is>
      </c>
      <c r="D67" s="5" t="inlineStr">
        <is>
          <t>2024</t>
        </is>
      </c>
      <c r="E67" s="5" t="inlineStr">
        <is>
          <t>Core benchmark study</t>
        </is>
      </c>
      <c r="F67" s="5" t="inlineStr">
        <is>
          <t>Core</t>
        </is>
      </c>
      <c r="G67" s="5" t="inlineStr">
        <is>
          <t>General and foundation MLIP evaluation</t>
        </is>
      </c>
      <c r="H67" s="5" t="inlineStr">
        <is>
          <t>Broad / mixed atomistic systems</t>
        </is>
      </c>
      <c r="I67" s="5" t="inlineStr">
        <is>
          <t>energy/force/stress accuracy</t>
        </is>
      </c>
      <c r="J67" s="5" t="inlineStr"/>
      <c r="K67" s="5" t="inlineStr">
        <is>
          <t>energy/force/stress MAE or RMSE</t>
        </is>
      </c>
      <c r="L67" s="5" t="inlineStr">
        <is>
          <t>DFT / reference data (see paper)</t>
        </is>
      </c>
      <c r="M67" s="6" t="inlineStr">
        <is>
          <t>10.1002/mgea.58</t>
        </is>
      </c>
      <c r="N67" s="7" t="inlineStr">
        <is>
          <t>https://onlinelibrary.wiley.com/doi/abs/10.1002/mgea.58</t>
        </is>
      </c>
      <c r="O67" s="5" t="inlineStr"/>
      <c r="P67" s="5" t="inlineStr"/>
      <c r="Q67" s="5" t="inlineStr">
        <is>
          <t>Yes</t>
        </is>
      </c>
      <c r="R67" s="5" t="inlineStr">
        <is>
          <t>Unknown</t>
        </is>
      </c>
      <c r="S67" s="8" t="inlineStr">
        <is>
          <t>Existing Zotero bibliography; normalized</t>
        </is>
      </c>
      <c r="T67" s="10" t="inlineStr">
        <is>
          <t>B</t>
        </is>
      </c>
      <c r="U67" s="8" t="inlineStr">
        <is>
          <t>2026-09-29</t>
        </is>
      </c>
      <c r="V67" s="5" t="inlineStr">
        <is>
          <t>Yes</t>
        </is>
      </c>
      <c r="W67" s="5" t="inlineStr">
        <is>
          <t>Medium</t>
        </is>
      </c>
      <c r="X67" s="5" t="inlineStr"/>
    </row>
    <row r="68">
      <c r="A68" s="5" t="inlineStr">
        <is>
          <t>N012</t>
        </is>
      </c>
      <c r="B68" s="5" t="inlineStr"/>
      <c r="C68" s="5" t="inlineStr">
        <is>
          <t>Benchmarking phonon anharmonicity in machine learning interatomic potentials</t>
        </is>
      </c>
      <c r="D68" s="5" t="inlineStr">
        <is>
          <t>2024</t>
        </is>
      </c>
      <c r="E68" s="5" t="inlineStr">
        <is>
          <t>Core benchmark study</t>
        </is>
      </c>
      <c r="F68" s="5" t="inlineStr">
        <is>
          <t>Core</t>
        </is>
      </c>
      <c r="G68" s="5" t="inlineStr">
        <is>
          <t>Phonons, vibrations and thermal</t>
        </is>
      </c>
      <c r="H68" s="5" t="inlineStr">
        <is>
          <t>ThO2</t>
        </is>
      </c>
      <c r="I68" s="5" t="inlineStr">
        <is>
          <t>Anharmonic force constants; phonon interactions; thermal conductivity</t>
        </is>
      </c>
      <c r="J68" s="5" t="inlineStr">
        <is>
          <t>GAP; ANN; GNN</t>
        </is>
      </c>
      <c r="K68" s="5" t="inlineStr">
        <is>
          <t>Phonon linewidths; line shifts; thermal conductivity; higher-order agreement</t>
        </is>
      </c>
      <c r="L68" s="5" t="inlineStr">
        <is>
          <t>DFT</t>
        </is>
      </c>
      <c r="M68" s="5" t="inlineStr"/>
      <c r="N68" s="7" t="inlineStr">
        <is>
          <t>https://arxiv.org/abs/2402.18891</t>
        </is>
      </c>
      <c r="O68" s="5" t="inlineStr"/>
      <c r="P68" s="5" t="inlineStr"/>
      <c r="Q68" s="5" t="inlineStr">
        <is>
          <t>No</t>
        </is>
      </c>
      <c r="R68" s="5" t="inlineStr">
        <is>
          <t>Unknown</t>
        </is>
      </c>
      <c r="S68" s="8" t="inlineStr">
        <is>
          <t>New literature sweep; web-verified</t>
        </is>
      </c>
      <c r="T68" s="9" t="inlineStr">
        <is>
          <t>A</t>
        </is>
      </c>
      <c r="U68" s="8" t="inlineStr">
        <is>
          <t>2026-09-29</t>
        </is>
      </c>
      <c r="V68" s="5" t="inlineStr">
        <is>
          <t>No</t>
        </is>
      </c>
      <c r="W68" s="5" t="inlineStr">
        <is>
          <t>High</t>
        </is>
      </c>
      <c r="X68" s="5" t="inlineStr">
        <is>
          <t>Explicitly probes anharmonic rather than only harmonic phonons.</t>
        </is>
      </c>
    </row>
    <row r="69">
      <c r="A69" s="5" t="inlineStr">
        <is>
          <t>N014</t>
        </is>
      </c>
      <c r="B69" s="5" t="inlineStr"/>
      <c r="C69" s="5" t="inlineStr">
        <is>
          <t>Benchmarking of machine learning interatomic potentials for reactive hydrogen dynamics at metal surfaces</t>
        </is>
      </c>
      <c r="D69" s="5" t="inlineStr">
        <is>
          <t>2024</t>
        </is>
      </c>
      <c r="E69" s="5" t="inlineStr">
        <is>
          <t>Core benchmark study</t>
        </is>
      </c>
      <c r="F69" s="5" t="inlineStr">
        <is>
          <t>Core</t>
        </is>
      </c>
      <c r="G69" s="5" t="inlineStr">
        <is>
          <t>Surfaces, interfaces and catalysis</t>
        </is>
      </c>
      <c r="H69" s="5" t="inlineStr">
        <is>
          <t>H2 scattering on Cu surfaces</t>
        </is>
      </c>
      <c r="I69" s="5" t="inlineStr">
        <is>
          <t>Reactive gas-surface dynamics; sticking probabilities; CPU throughput</t>
        </is>
      </c>
      <c r="J69" s="5" t="inlineStr">
        <is>
          <t>PaiNN; REANN; MACE; ACE</t>
        </is>
      </c>
      <c r="K69" s="5" t="inlineStr">
        <is>
          <t>Energy/force accuracy; time-to-solution; reaction/sticking probabilities</t>
        </is>
      </c>
      <c r="L69" s="5" t="inlineStr">
        <is>
          <t>DFT / dynamical observables</t>
        </is>
      </c>
      <c r="M69" s="6" t="inlineStr">
        <is>
          <t>10.1088/2632-2153/ad5f11</t>
        </is>
      </c>
      <c r="N69" s="7" t="inlineStr">
        <is>
          <t>https://doi.org/10.1088/2632-2153/ad5f11</t>
        </is>
      </c>
      <c r="O69" s="5" t="inlineStr"/>
      <c r="P69" s="5" t="inlineStr"/>
      <c r="Q69" s="5" t="inlineStr">
        <is>
          <t>Yes</t>
        </is>
      </c>
      <c r="R69" s="5" t="inlineStr">
        <is>
          <t>Unknown</t>
        </is>
      </c>
      <c r="S69" s="8" t="inlineStr">
        <is>
          <t>New literature sweep; web-verified</t>
        </is>
      </c>
      <c r="T69" s="9" t="inlineStr">
        <is>
          <t>A</t>
        </is>
      </c>
      <c r="U69" s="8" t="inlineStr">
        <is>
          <t>2026-09-29</t>
        </is>
      </c>
      <c r="V69" s="5" t="inlineStr">
        <is>
          <t>No</t>
        </is>
      </c>
      <c r="W69" s="5" t="inlineStr">
        <is>
          <t>High</t>
        </is>
      </c>
      <c r="X69" s="5" t="inlineStr">
        <is>
          <t>Application benchmark couples accuracy to reactive trajectory observables.</t>
        </is>
      </c>
    </row>
    <row r="70">
      <c r="A70" s="5" t="inlineStr">
        <is>
          <t>E057</t>
        </is>
      </c>
      <c r="B70" s="5" t="inlineStr">
        <is>
          <t>34NAJ3BD</t>
        </is>
      </c>
      <c r="C70" s="5" t="inlineStr">
        <is>
          <t>MatSciML: A Broad, Multi-Task Benchmark for Solid-State Materials Modeling</t>
        </is>
      </c>
      <c r="D70" s="5" t="inlineStr">
        <is>
          <t>2023</t>
        </is>
      </c>
      <c r="E70" s="5" t="inlineStr">
        <is>
          <t>Core benchmark study</t>
        </is>
      </c>
      <c r="F70" s="5" t="inlineStr">
        <is>
          <t>Core</t>
        </is>
      </c>
      <c r="G70" s="5" t="inlineStr">
        <is>
          <t>Benchmark suites and platforms</t>
        </is>
      </c>
      <c r="H70" s="5" t="inlineStr">
        <is>
          <t>Broad / mixed atomistic systems</t>
        </is>
      </c>
      <c r="I70" s="5" t="inlineStr">
        <is>
          <t>energy/force/stress accuracy</t>
        </is>
      </c>
      <c r="J70" s="5" t="inlineStr"/>
      <c r="K70" s="5" t="inlineStr">
        <is>
          <t>energy/force/stress MAE or RMSE</t>
        </is>
      </c>
      <c r="L70" s="5" t="inlineStr">
        <is>
          <t>DFT / reference data (see paper)</t>
        </is>
      </c>
      <c r="M70" s="6" t="inlineStr">
        <is>
          <t>10.48550/arXiv.2309.05934</t>
        </is>
      </c>
      <c r="N70" s="7" t="inlineStr">
        <is>
          <t>http://arxiv.org/abs/2309.05934</t>
        </is>
      </c>
      <c r="O70" s="5" t="inlineStr"/>
      <c r="P70" s="5" t="inlineStr"/>
      <c r="Q70" s="5" t="inlineStr">
        <is>
          <t>No</t>
        </is>
      </c>
      <c r="R70" s="5" t="inlineStr">
        <is>
          <t>Unknown</t>
        </is>
      </c>
      <c r="S70" s="8" t="inlineStr">
        <is>
          <t>Existing Zotero bibliography; normalized</t>
        </is>
      </c>
      <c r="T70" s="10" t="inlineStr">
        <is>
          <t>B</t>
        </is>
      </c>
      <c r="U70" s="8" t="inlineStr">
        <is>
          <t>2026-09-29</t>
        </is>
      </c>
      <c r="V70" s="5" t="inlineStr">
        <is>
          <t>Yes</t>
        </is>
      </c>
      <c r="W70" s="5" t="inlineStr">
        <is>
          <t>Medium</t>
        </is>
      </c>
      <c r="X70" s="5" t="inlineStr"/>
    </row>
    <row r="71">
      <c r="A71" s="5" t="inlineStr">
        <is>
          <t>E050</t>
        </is>
      </c>
      <c r="B71" s="5" t="inlineStr">
        <is>
          <t>AQGZIYAB</t>
        </is>
      </c>
      <c r="C71" s="5" t="inlineStr">
        <is>
          <t>Benchmarking Graphormer on Large-Scale Molecular Modeling Datasets</t>
        </is>
      </c>
      <c r="D71" s="5" t="inlineStr">
        <is>
          <t>2023</t>
        </is>
      </c>
      <c r="E71" s="5" t="inlineStr">
        <is>
          <t>Benchmark dataset + study</t>
        </is>
      </c>
      <c r="F71" s="5" t="inlineStr">
        <is>
          <t>Core</t>
        </is>
      </c>
      <c r="G71" s="5" t="inlineStr">
        <is>
          <t>Broader atomistic ML benchmarks</t>
        </is>
      </c>
      <c r="H71" s="5" t="inlineStr">
        <is>
          <t>Molecular / chemical systems</t>
        </is>
      </c>
      <c r="I71" s="5" t="inlineStr">
        <is>
          <t>energy/force/stress accuracy</t>
        </is>
      </c>
      <c r="J71" s="5" t="inlineStr"/>
      <c r="K71" s="5" t="inlineStr">
        <is>
          <t>energy/force/stress MAE or RMSE</t>
        </is>
      </c>
      <c r="L71" s="5" t="inlineStr">
        <is>
          <t>DFT / reference data (see paper)</t>
        </is>
      </c>
      <c r="M71" s="6" t="inlineStr">
        <is>
          <t>10.48550/arXiv.2203.04810</t>
        </is>
      </c>
      <c r="N71" s="7" t="inlineStr">
        <is>
          <t>http://arxiv.org/abs/2203.04810</t>
        </is>
      </c>
      <c r="O71" s="5" t="inlineStr"/>
      <c r="P71" s="5" t="inlineStr"/>
      <c r="Q71" s="5" t="inlineStr">
        <is>
          <t>No</t>
        </is>
      </c>
      <c r="R71" s="5" t="inlineStr">
        <is>
          <t>Unknown</t>
        </is>
      </c>
      <c r="S71" s="8" t="inlineStr">
        <is>
          <t>Existing Zotero bibliography; normalized</t>
        </is>
      </c>
      <c r="T71" s="10" t="inlineStr">
        <is>
          <t>B</t>
        </is>
      </c>
      <c r="U71" s="8" t="inlineStr">
        <is>
          <t>2026-09-29</t>
        </is>
      </c>
      <c r="V71" s="5" t="inlineStr">
        <is>
          <t>Yes</t>
        </is>
      </c>
      <c r="W71" s="5" t="inlineStr">
        <is>
          <t>Medium</t>
        </is>
      </c>
      <c r="X71" s="5" t="inlineStr"/>
    </row>
    <row r="72">
      <c r="A72" s="5" t="inlineStr">
        <is>
          <t>E002</t>
        </is>
      </c>
      <c r="B72" s="5" t="inlineStr">
        <is>
          <t>BRF2H5PQ</t>
        </is>
      </c>
      <c r="C72" s="5" t="inlineStr">
        <is>
          <t>Forces are not Enough: Benchmark and Critical Evaluation for Machine Learning Force Fields with Molecular Simulations</t>
        </is>
      </c>
      <c r="D72" s="5" t="inlineStr">
        <is>
          <t>2023</t>
        </is>
      </c>
      <c r="E72" s="5" t="inlineStr">
        <is>
          <t>Benchmark suite + study</t>
        </is>
      </c>
      <c r="F72" s="5" t="inlineStr">
        <is>
          <t>Core</t>
        </is>
      </c>
      <c r="G72" s="5" t="inlineStr">
        <is>
          <t>Dynamics and finite temperature</t>
        </is>
      </c>
      <c r="H72" s="5" t="inlineStr">
        <is>
          <t>Water; molecules; peptide; materials</t>
        </is>
      </c>
      <c r="I72" s="5" t="inlineStr">
        <is>
          <t>MD observables and long-time stability</t>
        </is>
      </c>
      <c r="J72" s="5" t="inlineStr"/>
      <c r="K72" s="5" t="inlineStr">
        <is>
          <t>Force error; trajectory stability; system-specific MD observables</t>
        </is>
      </c>
      <c r="L72" s="5" t="inlineStr">
        <is>
          <t>DFT / reference data (see paper)</t>
        </is>
      </c>
      <c r="M72" s="6" t="inlineStr">
        <is>
          <t>10.48550/arXiv.2210.07237</t>
        </is>
      </c>
      <c r="N72" s="7" t="inlineStr">
        <is>
          <t>http://arxiv.org/abs/2210.07237</t>
        </is>
      </c>
      <c r="O72" s="5" t="inlineStr"/>
      <c r="P72" s="5" t="inlineStr"/>
      <c r="Q72" s="5" t="inlineStr">
        <is>
          <t>No</t>
        </is>
      </c>
      <c r="R72" s="5" t="inlineStr">
        <is>
          <t>Unknown</t>
        </is>
      </c>
      <c r="S72" s="8" t="inlineStr">
        <is>
          <t>Existing Zotero bibliography; normalized</t>
        </is>
      </c>
      <c r="T72" s="10" t="inlineStr">
        <is>
          <t>B</t>
        </is>
      </c>
      <c r="U72" s="8" t="inlineStr">
        <is>
          <t>2026-09-29</t>
        </is>
      </c>
      <c r="V72" s="5" t="inlineStr">
        <is>
          <t>Yes</t>
        </is>
      </c>
      <c r="W72" s="5" t="inlineStr">
        <is>
          <t>High</t>
        </is>
      </c>
      <c r="X72" s="5" t="inlineStr"/>
    </row>
    <row r="73">
      <c r="A73" s="5" t="inlineStr">
        <is>
          <t>E085</t>
        </is>
      </c>
      <c r="B73" s="5" t="inlineStr">
        <is>
          <t>84V56H3J</t>
        </is>
      </c>
      <c r="C73" s="5" t="inlineStr">
        <is>
          <t>Discrepancies and error evaluation metrics for machine learning interatomic potentials</t>
        </is>
      </c>
      <c r="D73" s="5" t="inlineStr">
        <is>
          <t>2023</t>
        </is>
      </c>
      <c r="E73" s="5" t="inlineStr">
        <is>
          <t>Core benchmark study</t>
        </is>
      </c>
      <c r="F73" s="5" t="inlineStr">
        <is>
          <t>Core</t>
        </is>
      </c>
      <c r="G73" s="5" t="inlineStr">
        <is>
          <t>General and foundation MLIP evaluation</t>
        </is>
      </c>
      <c r="H73" s="5" t="inlineStr">
        <is>
          <t>Broad / mixed atomistic systems</t>
        </is>
      </c>
      <c r="I73" s="5" t="inlineStr">
        <is>
          <t>application-specific evaluation</t>
        </is>
      </c>
      <c r="J73" s="5" t="inlineStr"/>
      <c r="K73" s="5" t="inlineStr">
        <is>
          <t>task-specific metrics</t>
        </is>
      </c>
      <c r="L73" s="5" t="inlineStr">
        <is>
          <t>DFT / reference data (see paper)</t>
        </is>
      </c>
      <c r="M73" s="6" t="inlineStr">
        <is>
          <t>10.1038/s41524-023-01123-3</t>
        </is>
      </c>
      <c r="N73" s="7" t="inlineStr">
        <is>
          <t>https://www.nature.com/articles/s41524-023-01123-3</t>
        </is>
      </c>
      <c r="O73" s="5" t="inlineStr"/>
      <c r="P73" s="5" t="inlineStr"/>
      <c r="Q73" s="5" t="inlineStr">
        <is>
          <t>Yes</t>
        </is>
      </c>
      <c r="R73" s="5" t="inlineStr">
        <is>
          <t>Unknown</t>
        </is>
      </c>
      <c r="S73" s="8" t="inlineStr">
        <is>
          <t>Existing Zotero bibliography; normalized</t>
        </is>
      </c>
      <c r="T73" s="10" t="inlineStr">
        <is>
          <t>B</t>
        </is>
      </c>
      <c r="U73" s="8" t="inlineStr">
        <is>
          <t>2026-09-29</t>
        </is>
      </c>
      <c r="V73" s="5" t="inlineStr">
        <is>
          <t>Yes</t>
        </is>
      </c>
      <c r="W73" s="5" t="inlineStr">
        <is>
          <t>Medium</t>
        </is>
      </c>
      <c r="X73" s="5" t="inlineStr"/>
    </row>
    <row r="74">
      <c r="A74" s="5" t="inlineStr">
        <is>
          <t>E031</t>
        </is>
      </c>
      <c r="B74" s="5" t="inlineStr">
        <is>
          <t>VFM4AYDA</t>
        </is>
      </c>
      <c r="C74" s="5" t="inlineStr">
        <is>
          <t>M$^2$Hub: Unlocking the Potential of Machine Learning for Materials Discovery</t>
        </is>
      </c>
      <c r="D74" s="5" t="inlineStr">
        <is>
          <t>2023</t>
        </is>
      </c>
      <c r="E74" s="5" t="inlineStr">
        <is>
          <t>Benchmark suite/platform</t>
        </is>
      </c>
      <c r="F74" s="5" t="inlineStr">
        <is>
          <t>Core</t>
        </is>
      </c>
      <c r="G74" s="5" t="inlineStr">
        <is>
          <t>General and foundation MLIP evaluation</t>
        </is>
      </c>
      <c r="H74" s="5" t="inlineStr">
        <is>
          <t>Broad / mixed atomistic systems</t>
        </is>
      </c>
      <c r="I74" s="5" t="inlineStr">
        <is>
          <t>application-specific evaluation</t>
        </is>
      </c>
      <c r="J74" s="5" t="inlineStr"/>
      <c r="K74" s="5" t="inlineStr">
        <is>
          <t>task-specific metrics</t>
        </is>
      </c>
      <c r="L74" s="5" t="inlineStr">
        <is>
          <t>DFT / reference data (see paper)</t>
        </is>
      </c>
      <c r="M74" s="6" t="inlineStr">
        <is>
          <t>10.48550/arXiv.2307.05378</t>
        </is>
      </c>
      <c r="N74" s="7" t="inlineStr">
        <is>
          <t>http://arxiv.org/abs/2307.05378</t>
        </is>
      </c>
      <c r="O74" s="5" t="inlineStr"/>
      <c r="P74" s="5" t="inlineStr"/>
      <c r="Q74" s="5" t="inlineStr">
        <is>
          <t>No</t>
        </is>
      </c>
      <c r="R74" s="5" t="inlineStr">
        <is>
          <t>Unknown</t>
        </is>
      </c>
      <c r="S74" s="8" t="inlineStr">
        <is>
          <t>Existing Zotero bibliography; normalized</t>
        </is>
      </c>
      <c r="T74" s="10" t="inlineStr">
        <is>
          <t>B</t>
        </is>
      </c>
      <c r="U74" s="8" t="inlineStr">
        <is>
          <t>2026-09-29</t>
        </is>
      </c>
      <c r="V74" s="5" t="inlineStr">
        <is>
          <t>Yes</t>
        </is>
      </c>
      <c r="W74" s="5" t="inlineStr">
        <is>
          <t>Medium</t>
        </is>
      </c>
      <c r="X74" s="5" t="inlineStr"/>
    </row>
    <row r="75">
      <c r="A75" s="5" t="inlineStr">
        <is>
          <t>E038</t>
        </is>
      </c>
      <c r="B75" s="5" t="inlineStr">
        <is>
          <t>BT2XET2Y</t>
        </is>
      </c>
      <c r="C75" s="5" t="inlineStr">
        <is>
          <t>Using machine learning to go beyond potential energy surface benchmarking for chemical reactivity</t>
        </is>
      </c>
      <c r="D75" s="5" t="inlineStr">
        <is>
          <t>2023</t>
        </is>
      </c>
      <c r="E75" s="5" t="inlineStr">
        <is>
          <t>Core benchmark study</t>
        </is>
      </c>
      <c r="F75" s="5" t="inlineStr">
        <is>
          <t>Core</t>
        </is>
      </c>
      <c r="G75" s="5" t="inlineStr">
        <is>
          <t>Surfaces, interfaces and catalysis</t>
        </is>
      </c>
      <c r="H75" s="5" t="inlineStr">
        <is>
          <t>Surfaces / interfaces / catalysts</t>
        </is>
      </c>
      <c r="I75" s="5" t="inlineStr">
        <is>
          <t>energy/force/stress accuracy; surface / adsorption / catalysis</t>
        </is>
      </c>
      <c r="J75" s="5" t="inlineStr"/>
      <c r="K75" s="5" t="inlineStr">
        <is>
          <t>energy/force/stress MAE or RMSE</t>
        </is>
      </c>
      <c r="L75" s="5" t="inlineStr">
        <is>
          <t>DFT / reference data (see paper)</t>
        </is>
      </c>
      <c r="M75" s="6" t="inlineStr">
        <is>
          <t>10.1038/s43588-023-00549-5</t>
        </is>
      </c>
      <c r="N75" s="7" t="inlineStr">
        <is>
          <t>https://www.nature.com/articles/s43588-023-00549-5</t>
        </is>
      </c>
      <c r="O75" s="5" t="inlineStr"/>
      <c r="P75" s="5" t="inlineStr"/>
      <c r="Q75" s="5" t="inlineStr">
        <is>
          <t>Yes</t>
        </is>
      </c>
      <c r="R75" s="5" t="inlineStr">
        <is>
          <t>Unknown</t>
        </is>
      </c>
      <c r="S75" s="8" t="inlineStr">
        <is>
          <t>Existing Zotero bibliography; normalized</t>
        </is>
      </c>
      <c r="T75" s="10" t="inlineStr">
        <is>
          <t>B</t>
        </is>
      </c>
      <c r="U75" s="8" t="inlineStr">
        <is>
          <t>2026-09-29</t>
        </is>
      </c>
      <c r="V75" s="5" t="inlineStr">
        <is>
          <t>Yes</t>
        </is>
      </c>
      <c r="W75" s="5" t="inlineStr">
        <is>
          <t>Medium</t>
        </is>
      </c>
      <c r="X75" s="5" t="inlineStr"/>
    </row>
    <row r="76">
      <c r="A76" s="5" t="inlineStr">
        <is>
          <t>E032</t>
        </is>
      </c>
      <c r="B76" s="5" t="inlineStr">
        <is>
          <t>YQFC6GTW</t>
        </is>
      </c>
      <c r="C76" s="5" t="inlineStr">
        <is>
          <t>Benchmarking materials property prediction methods: the Matbench test set and Automatminer reference algorithm</t>
        </is>
      </c>
      <c r="D76" s="5" t="inlineStr">
        <is>
          <t>2020</t>
        </is>
      </c>
      <c r="E76" s="5" t="inlineStr">
        <is>
          <t>Core benchmark study</t>
        </is>
      </c>
      <c r="F76" s="5" t="inlineStr">
        <is>
          <t>Core</t>
        </is>
      </c>
      <c r="G76" s="5" t="inlineStr">
        <is>
          <t>Benchmark suites and platforms</t>
        </is>
      </c>
      <c r="H76" s="5" t="inlineStr">
        <is>
          <t>Broad / mixed atomistic systems</t>
        </is>
      </c>
      <c r="I76" s="5" t="inlineStr">
        <is>
          <t>energy/force/stress accuracy</t>
        </is>
      </c>
      <c r="J76" s="5" t="inlineStr"/>
      <c r="K76" s="5" t="inlineStr">
        <is>
          <t>energy/force/stress MAE or RMSE</t>
        </is>
      </c>
      <c r="L76" s="5" t="inlineStr">
        <is>
          <t>DFT / reference data (see paper)</t>
        </is>
      </c>
      <c r="M76" s="6" t="inlineStr">
        <is>
          <t>10.1038/s41524-020-00406-3</t>
        </is>
      </c>
      <c r="N76" s="7" t="inlineStr">
        <is>
          <t>https://www.nature.com/articles/s41524-020-00406-3</t>
        </is>
      </c>
      <c r="O76" s="5" t="inlineStr"/>
      <c r="P76" s="5" t="inlineStr"/>
      <c r="Q76" s="5" t="inlineStr">
        <is>
          <t>Yes</t>
        </is>
      </c>
      <c r="R76" s="5" t="inlineStr">
        <is>
          <t>Unknown</t>
        </is>
      </c>
      <c r="S76" s="8" t="inlineStr">
        <is>
          <t>Existing Zotero bibliography; normalized</t>
        </is>
      </c>
      <c r="T76" s="10" t="inlineStr">
        <is>
          <t>B</t>
        </is>
      </c>
      <c r="U76" s="8" t="inlineStr">
        <is>
          <t>2026-09-29</t>
        </is>
      </c>
      <c r="V76" s="5" t="inlineStr">
        <is>
          <t>Yes</t>
        </is>
      </c>
      <c r="W76" s="5" t="inlineStr">
        <is>
          <t>Medium</t>
        </is>
      </c>
      <c r="X76" s="5" t="inlineStr"/>
    </row>
    <row r="77">
      <c r="A77" s="5" t="inlineStr">
        <is>
          <t>E023</t>
        </is>
      </c>
      <c r="B77" s="5" t="inlineStr">
        <is>
          <t>TA5FNC2Z</t>
        </is>
      </c>
      <c r="C77" s="5" t="inlineStr">
        <is>
          <t>Performance and Cost Assessment of Machine Learning Interatomic Potentials</t>
        </is>
      </c>
      <c r="D77" s="5" t="inlineStr">
        <is>
          <t>2020</t>
        </is>
      </c>
      <c r="E77" s="5" t="inlineStr">
        <is>
          <t>Core benchmark study</t>
        </is>
      </c>
      <c r="F77" s="5" t="inlineStr">
        <is>
          <t>Core</t>
        </is>
      </c>
      <c r="G77" s="5" t="inlineStr">
        <is>
          <t>Methodology, reliability and efficiency</t>
        </is>
      </c>
      <c r="H77" s="5" t="inlineStr">
        <is>
          <t>Broad / mixed atomistic systems</t>
        </is>
      </c>
      <c r="I77" s="5" t="inlineStr">
        <is>
          <t>energy/force/stress accuracy; efficiency / scaling</t>
        </is>
      </c>
      <c r="J77" s="5" t="inlineStr"/>
      <c r="K77" s="5" t="inlineStr">
        <is>
          <t>energy/force/stress MAE or RMSE; throughput / runtime / memory</t>
        </is>
      </c>
      <c r="L77" s="5" t="inlineStr">
        <is>
          <t>DFT / reference data (see paper)</t>
        </is>
      </c>
      <c r="M77" s="6" t="inlineStr">
        <is>
          <t>10.1021/acs.jpca.9b08723</t>
        </is>
      </c>
      <c r="N77" s="7" t="inlineStr">
        <is>
          <t>https://doi.org/10.1021/acs.jpca.9b08723</t>
        </is>
      </c>
      <c r="O77" s="5" t="inlineStr"/>
      <c r="P77" s="5" t="inlineStr"/>
      <c r="Q77" s="5" t="inlineStr">
        <is>
          <t>Yes</t>
        </is>
      </c>
      <c r="R77" s="5" t="inlineStr">
        <is>
          <t>Unknown</t>
        </is>
      </c>
      <c r="S77" s="8" t="inlineStr">
        <is>
          <t>Existing Zotero bibliography; normalized</t>
        </is>
      </c>
      <c r="T77" s="10" t="inlineStr">
        <is>
          <t>B</t>
        </is>
      </c>
      <c r="U77" s="8" t="inlineStr">
        <is>
          <t>2026-09-29</t>
        </is>
      </c>
      <c r="V77" s="5" t="inlineStr">
        <is>
          <t>Yes</t>
        </is>
      </c>
      <c r="W77" s="5" t="inlineStr">
        <is>
          <t>Medium</t>
        </is>
      </c>
      <c r="X77" s="5" t="inlineStr"/>
    </row>
    <row r="78">
      <c r="A78" s="5" t="inlineStr">
        <is>
          <t>N027</t>
        </is>
      </c>
      <c r="B78" s="5" t="inlineStr"/>
      <c r="C78" s="5" t="inlineStr">
        <is>
          <t>COMP6: A comprehensive benchmark suite for machine learning potentials</t>
        </is>
      </c>
      <c r="D78" s="5" t="inlineStr">
        <is>
          <t>2018</t>
        </is>
      </c>
      <c r="E78" s="5" t="inlineStr">
        <is>
          <t>Benchmark suite + study</t>
        </is>
      </c>
      <c r="F78" s="5" t="inlineStr">
        <is>
          <t>Core</t>
        </is>
      </c>
      <c r="G78" s="5" t="inlineStr">
        <is>
          <t>Molecules, reactions and chemical kinetics</t>
        </is>
      </c>
      <c r="H78" s="5" t="inlineStr">
        <is>
          <t>Diverse organic molecules and conformers</t>
        </is>
      </c>
      <c r="I78" s="5" t="inlineStr">
        <is>
          <t>Transferability across molecular datasets and conformers</t>
        </is>
      </c>
      <c r="J78" s="5" t="inlineStr">
        <is>
          <t>ANI family and molecular ML potentials</t>
        </is>
      </c>
      <c r="K78" s="5" t="inlineStr">
        <is>
          <t>Energy errors across benchmark subsets</t>
        </is>
      </c>
      <c r="L78" s="5" t="inlineStr">
        <is>
          <t>Quantum chemistry</t>
        </is>
      </c>
      <c r="M78" s="6" t="inlineStr">
        <is>
          <t>10.1063/1.5023802</t>
        </is>
      </c>
      <c r="N78" s="7" t="inlineStr">
        <is>
          <t>https://doi.org/10.1063/1.5023802</t>
        </is>
      </c>
      <c r="O78" s="7" t="inlineStr">
        <is>
          <t>https://github.com/isayev/COMP6</t>
        </is>
      </c>
      <c r="P78" s="5" t="inlineStr"/>
      <c r="Q78" s="5" t="inlineStr">
        <is>
          <t>Yes</t>
        </is>
      </c>
      <c r="R78" s="5" t="inlineStr">
        <is>
          <t>Yes</t>
        </is>
      </c>
      <c r="S78" s="8" t="inlineStr">
        <is>
          <t>New literature sweep; web-verified</t>
        </is>
      </c>
      <c r="T78" s="9" t="inlineStr">
        <is>
          <t>A</t>
        </is>
      </c>
      <c r="U78" s="8" t="inlineStr">
        <is>
          <t>2026-09-29</t>
        </is>
      </c>
      <c r="V78" s="5" t="inlineStr">
        <is>
          <t>No</t>
        </is>
      </c>
      <c r="W78" s="5" t="inlineStr">
        <is>
          <t>High</t>
        </is>
      </c>
      <c r="X78" s="5" t="inlineStr">
        <is>
          <t>Classic cross-domain molecular-potential benchmark suite.</t>
        </is>
      </c>
    </row>
    <row r="79">
      <c r="A79" s="5" t="inlineStr">
        <is>
          <t>E089</t>
        </is>
      </c>
      <c r="B79" s="5" t="inlineStr">
        <is>
          <t>8DPHIIJW</t>
        </is>
      </c>
      <c r="C79" s="5" t="inlineStr">
        <is>
          <t>Probing Machine Learning Interatomic Potentials on Ion Transport Properties</t>
        </is>
      </c>
      <c r="D79" s="5" t="inlineStr">
        <is>
          <t>2026</t>
        </is>
      </c>
      <c r="E79" s="5" t="inlineStr">
        <is>
          <t>Adjacent / supporting resource</t>
        </is>
      </c>
      <c r="F79" s="5" t="inlineStr">
        <is>
          <t>Supporting</t>
        </is>
      </c>
      <c r="G79" s="5" t="inlineStr">
        <is>
          <t>Batteries, diffusion and ion transport</t>
        </is>
      </c>
      <c r="H79" s="5" t="inlineStr">
        <is>
          <t>Battery / ionic materials</t>
        </is>
      </c>
      <c r="I79" s="5" t="inlineStr">
        <is>
          <t>migration / diffusion</t>
        </is>
      </c>
      <c r="J79" s="5" t="inlineStr"/>
      <c r="K79" s="5" t="inlineStr">
        <is>
          <t>barrier / diffusion error</t>
        </is>
      </c>
      <c r="L79" s="5" t="inlineStr">
        <is>
          <t>DFT / reference data (see paper)</t>
        </is>
      </c>
      <c r="M79" s="6" t="inlineStr">
        <is>
          <t>10.1002/aidi.70143</t>
        </is>
      </c>
      <c r="N79" s="7" t="inlineStr">
        <is>
          <t>https://advanced.onlinelibrary.wiley.com/doi/10.1002/aidi.70143</t>
        </is>
      </c>
      <c r="O79" s="5" t="inlineStr"/>
      <c r="P79" s="5" t="inlineStr"/>
      <c r="Q79" s="5" t="inlineStr">
        <is>
          <t>Yes</t>
        </is>
      </c>
      <c r="R79" s="5" t="inlineStr">
        <is>
          <t>Unknown</t>
        </is>
      </c>
      <c r="S79" s="8" t="inlineStr">
        <is>
          <t>Existing Zotero bibliography; normalized</t>
        </is>
      </c>
      <c r="T79" s="10" t="inlineStr">
        <is>
          <t>B</t>
        </is>
      </c>
      <c r="U79" s="8" t="inlineStr">
        <is>
          <t>2026-09-29</t>
        </is>
      </c>
      <c r="V79" s="5" t="inlineStr">
        <is>
          <t>Yes</t>
        </is>
      </c>
      <c r="W79" s="5" t="inlineStr">
        <is>
          <t>Medium</t>
        </is>
      </c>
      <c r="X79" s="5" t="inlineStr"/>
    </row>
    <row r="80">
      <c r="A80" s="5" t="inlineStr">
        <is>
          <t>E015</t>
        </is>
      </c>
      <c r="B80" s="5" t="inlineStr">
        <is>
          <t>BFNLWNVL</t>
        </is>
      </c>
      <c r="C80" s="5" t="inlineStr">
        <is>
          <t>Framework-Constrained Materials Generation</t>
        </is>
      </c>
      <c r="D80" s="5" t="inlineStr">
        <is>
          <t>2026</t>
        </is>
      </c>
      <c r="E80" s="5" t="inlineStr">
        <is>
          <t>Adjacent / supporting resource</t>
        </is>
      </c>
      <c r="F80" s="5" t="inlineStr">
        <is>
          <t>Supporting</t>
        </is>
      </c>
      <c r="G80" s="5" t="inlineStr">
        <is>
          <t>Crystal search, stability and generation</t>
        </is>
      </c>
      <c r="H80" s="5" t="inlineStr">
        <is>
          <t>Broad / mixed atomistic systems</t>
        </is>
      </c>
      <c r="I80" s="5" t="inlineStr">
        <is>
          <t>application-specific evaluation</t>
        </is>
      </c>
      <c r="J80" s="5" t="inlineStr"/>
      <c r="K80" s="5" t="inlineStr">
        <is>
          <t>task-specific metrics</t>
        </is>
      </c>
      <c r="L80" s="5" t="inlineStr">
        <is>
          <t>DFT / reference data (see paper)</t>
        </is>
      </c>
      <c r="M80" s="5" t="inlineStr"/>
      <c r="N80" s="7" t="inlineStr">
        <is>
          <t>https://openreview.net/forum?id=Yk4FcrVcU2</t>
        </is>
      </c>
      <c r="O80" s="5" t="inlineStr"/>
      <c r="P80" s="5" t="inlineStr"/>
      <c r="Q80" s="5" t="inlineStr">
        <is>
          <t>Unknown</t>
        </is>
      </c>
      <c r="R80" s="5" t="inlineStr">
        <is>
          <t>Unknown</t>
        </is>
      </c>
      <c r="S80" s="8" t="inlineStr">
        <is>
          <t>Existing Zotero bibliography; normalized</t>
        </is>
      </c>
      <c r="T80" s="10" t="inlineStr">
        <is>
          <t>B</t>
        </is>
      </c>
      <c r="U80" s="8" t="inlineStr">
        <is>
          <t>2026-09-29</t>
        </is>
      </c>
      <c r="V80" s="5" t="inlineStr">
        <is>
          <t>Yes</t>
        </is>
      </c>
      <c r="W80" s="5" t="inlineStr">
        <is>
          <t>Medium</t>
        </is>
      </c>
      <c r="X80" s="5" t="inlineStr"/>
    </row>
    <row r="81">
      <c r="A81" s="5" t="inlineStr">
        <is>
          <t>E078</t>
        </is>
      </c>
      <c r="B81" s="5" t="inlineStr">
        <is>
          <t>YBYSQP89</t>
        </is>
      </c>
      <c r="C81" s="5" t="inlineStr">
        <is>
          <t>Performance of universal machine learning potentials in global optimization of inorganic crystal structures</t>
        </is>
      </c>
      <c r="D81" s="5" t="inlineStr">
        <is>
          <t>2026</t>
        </is>
      </c>
      <c r="E81" s="5" t="inlineStr">
        <is>
          <t>Adjacent / supporting resource</t>
        </is>
      </c>
      <c r="F81" s="5" t="inlineStr">
        <is>
          <t>Supporting</t>
        </is>
      </c>
      <c r="G81" s="5" t="inlineStr">
        <is>
          <t>Crystal search, stability and generation</t>
        </is>
      </c>
      <c r="H81" s="5" t="inlineStr">
        <is>
          <t>Inorganic crystals</t>
        </is>
      </c>
      <c r="I81" s="5" t="inlineStr">
        <is>
          <t>energy/force/stress accuracy; structure relaxation / PES search</t>
        </is>
      </c>
      <c r="J81" s="5" t="inlineStr"/>
      <c r="K81" s="5" t="inlineStr">
        <is>
          <t>energy/force/stress MAE or RMSE; structural distance / relaxation success</t>
        </is>
      </c>
      <c r="L81" s="5" t="inlineStr">
        <is>
          <t>DFT / reference data (see paper)</t>
        </is>
      </c>
      <c r="M81" s="6" t="inlineStr">
        <is>
          <t>10.1088/2632-2153/ae94e1</t>
        </is>
      </c>
      <c r="N81" s="7" t="inlineStr">
        <is>
          <t>https://doi.org/10.1088/2632-2153/ae94e1</t>
        </is>
      </c>
      <c r="O81" s="5" t="inlineStr"/>
      <c r="P81" s="5" t="inlineStr"/>
      <c r="Q81" s="5" t="inlineStr">
        <is>
          <t>Yes</t>
        </is>
      </c>
      <c r="R81" s="5" t="inlineStr">
        <is>
          <t>Unknown</t>
        </is>
      </c>
      <c r="S81" s="8" t="inlineStr">
        <is>
          <t>Existing Zotero bibliography; normalized</t>
        </is>
      </c>
      <c r="T81" s="10" t="inlineStr">
        <is>
          <t>B</t>
        </is>
      </c>
      <c r="U81" s="8" t="inlineStr">
        <is>
          <t>2026-09-29</t>
        </is>
      </c>
      <c r="V81" s="5" t="inlineStr">
        <is>
          <t>Yes</t>
        </is>
      </c>
      <c r="W81" s="5" t="inlineStr">
        <is>
          <t>Medium</t>
        </is>
      </c>
      <c r="X81" s="5" t="inlineStr"/>
    </row>
    <row r="82">
      <c r="A82" s="5" t="inlineStr">
        <is>
          <t>E079</t>
        </is>
      </c>
      <c r="B82" s="5" t="inlineStr">
        <is>
          <t>IIVGZGDJ</t>
        </is>
      </c>
      <c r="C82" s="5" t="inlineStr">
        <is>
          <t>Amorphous materials as a frontier challenge for universal interatomic potentials</t>
        </is>
      </c>
      <c r="D82" s="5" t="inlineStr">
        <is>
          <t>2026</t>
        </is>
      </c>
      <c r="E82" s="5" t="inlineStr">
        <is>
          <t>Adjacent / supporting resource</t>
        </is>
      </c>
      <c r="F82" s="5" t="inlineStr">
        <is>
          <t>Supporting</t>
        </is>
      </c>
      <c r="G82" s="5" t="inlineStr">
        <is>
          <t>Defects, disorder and dimensionality</t>
        </is>
      </c>
      <c r="H82" s="5" t="inlineStr">
        <is>
          <t>Amorphous materials</t>
        </is>
      </c>
      <c r="I82" s="5" t="inlineStr">
        <is>
          <t>application-specific evaluation</t>
        </is>
      </c>
      <c r="J82" s="5" t="inlineStr"/>
      <c r="K82" s="5" t="inlineStr">
        <is>
          <t>task-specific metrics</t>
        </is>
      </c>
      <c r="L82" s="5" t="inlineStr">
        <is>
          <t>DFT / reference data (see paper)</t>
        </is>
      </c>
      <c r="M82" s="6" t="inlineStr">
        <is>
          <t>10.48550/arXiv.2607.11384</t>
        </is>
      </c>
      <c r="N82" s="7" t="inlineStr">
        <is>
          <t>http://arxiv.org/abs/2607.11384</t>
        </is>
      </c>
      <c r="O82" s="5" t="inlineStr"/>
      <c r="P82" s="5" t="inlineStr"/>
      <c r="Q82" s="5" t="inlineStr">
        <is>
          <t>No</t>
        </is>
      </c>
      <c r="R82" s="5" t="inlineStr">
        <is>
          <t>Unknown</t>
        </is>
      </c>
      <c r="S82" s="8" t="inlineStr">
        <is>
          <t>Existing Zotero bibliography; normalized</t>
        </is>
      </c>
      <c r="T82" s="10" t="inlineStr">
        <is>
          <t>B</t>
        </is>
      </c>
      <c r="U82" s="8" t="inlineStr">
        <is>
          <t>2026-09-29</t>
        </is>
      </c>
      <c r="V82" s="5" t="inlineStr">
        <is>
          <t>Yes</t>
        </is>
      </c>
      <c r="W82" s="5" t="inlineStr">
        <is>
          <t>Medium</t>
        </is>
      </c>
      <c r="X82" s="5" t="inlineStr"/>
    </row>
    <row r="83">
      <c r="A83" s="5" t="inlineStr">
        <is>
          <t>N017</t>
        </is>
      </c>
      <c r="B83" s="5" t="inlineStr"/>
      <c r="C83" s="5" t="inlineStr">
        <is>
          <t>The Open Materials 2024 (OMat24) inorganic materials dataset and models</t>
        </is>
      </c>
      <c r="D83" s="5" t="inlineStr">
        <is>
          <t>2026</t>
        </is>
      </c>
      <c r="E83" s="5" t="inlineStr">
        <is>
          <t>Benchmark-supporting dataset</t>
        </is>
      </c>
      <c r="F83" s="5" t="inlineStr">
        <is>
          <t>Supporting</t>
        </is>
      </c>
      <c r="G83" s="5" t="inlineStr">
        <is>
          <t>Foundation datasets and model ecosystems</t>
        </is>
      </c>
      <c r="H83" s="5" t="inlineStr">
        <is>
          <t>Inorganic materials across periodic table</t>
        </is>
      </c>
      <c r="I83" s="5" t="inlineStr">
        <is>
          <t>Non-equilibrium PES training; model evaluation; discovery/phonon/thermal downstream tests</t>
        </is>
      </c>
      <c r="J83" s="5" t="inlineStr">
        <is>
          <t>EquiformerV2/UMA family and baselines</t>
        </is>
      </c>
      <c r="K83" s="5" t="inlineStr">
        <is>
          <t>E/F/S errors; Matbench Discovery; softening; downstream properties</t>
        </is>
      </c>
      <c r="L83" s="5" t="inlineStr">
        <is>
          <t>DFT</t>
        </is>
      </c>
      <c r="M83" s="6" t="inlineStr">
        <is>
          <t>10.1038/s43588-026-00996-w</t>
        </is>
      </c>
      <c r="N83" s="7" t="inlineStr">
        <is>
          <t>https://doi.org/10.1038/s43588-026-00996-w</t>
        </is>
      </c>
      <c r="O83" s="7" t="inlineStr">
        <is>
          <t>https://github.com/FAIR-Chem/fairchem</t>
        </is>
      </c>
      <c r="P83" s="7" t="inlineStr">
        <is>
          <t>https://huggingface.co/datasets/facebook/OMAT24</t>
        </is>
      </c>
      <c r="Q83" s="5" t="inlineStr">
        <is>
          <t>Yes</t>
        </is>
      </c>
      <c r="R83" s="5" t="inlineStr">
        <is>
          <t>Yes</t>
        </is>
      </c>
      <c r="S83" s="8" t="inlineStr">
        <is>
          <t>New literature sweep; web-verified</t>
        </is>
      </c>
      <c r="T83" s="9" t="inlineStr">
        <is>
          <t>A</t>
        </is>
      </c>
      <c r="U83" s="8" t="inlineStr">
        <is>
          <t>2026-09-29</t>
        </is>
      </c>
      <c r="V83" s="5" t="inlineStr">
        <is>
          <t>No</t>
        </is>
      </c>
      <c r="W83" s="5" t="inlineStr">
        <is>
          <t>Medium</t>
        </is>
      </c>
      <c r="X83" s="5" t="inlineStr">
        <is>
          <t>Over 110 million DFT calculations; central foundation-model dataset.</t>
        </is>
      </c>
    </row>
    <row r="84">
      <c r="A84" s="5" t="inlineStr">
        <is>
          <t>E010</t>
        </is>
      </c>
      <c r="B84" s="5" t="inlineStr">
        <is>
          <t>PC744YZU</t>
        </is>
      </c>
      <c r="C84" s="5" t="inlineStr">
        <is>
          <t>A universal machine learning model for the electronic density of states</t>
        </is>
      </c>
      <c r="D84" s="5" t="inlineStr">
        <is>
          <t>2026</t>
        </is>
      </c>
      <c r="E84" s="5" t="inlineStr">
        <is>
          <t>Adjacent / supporting resource</t>
        </is>
      </c>
      <c r="F84" s="5" t="inlineStr">
        <is>
          <t>Supporting</t>
        </is>
      </c>
      <c r="G84" s="5" t="inlineStr">
        <is>
          <t>General and foundation MLIP evaluation</t>
        </is>
      </c>
      <c r="H84" s="5" t="inlineStr">
        <is>
          <t>Broad / mixed atomistic systems</t>
        </is>
      </c>
      <c r="I84" s="5" t="inlineStr">
        <is>
          <t>application-specific evaluation</t>
        </is>
      </c>
      <c r="J84" s="5" t="inlineStr"/>
      <c r="K84" s="5" t="inlineStr">
        <is>
          <t>task-specific metrics</t>
        </is>
      </c>
      <c r="L84" s="5" t="inlineStr">
        <is>
          <t>DFT / reference data (see paper)</t>
        </is>
      </c>
      <c r="M84" s="6" t="inlineStr">
        <is>
          <t>10.1039/D5DD00557D</t>
        </is>
      </c>
      <c r="N84" s="7" t="inlineStr">
        <is>
          <t>https://pubs.rsc.org/en/content/articlelanding/2026/dd/d5dd00557d</t>
        </is>
      </c>
      <c r="O84" s="5" t="inlineStr"/>
      <c r="P84" s="5" t="inlineStr"/>
      <c r="Q84" s="5" t="inlineStr">
        <is>
          <t>Yes</t>
        </is>
      </c>
      <c r="R84" s="5" t="inlineStr">
        <is>
          <t>Unknown</t>
        </is>
      </c>
      <c r="S84" s="8" t="inlineStr">
        <is>
          <t>Existing Zotero bibliography; normalized</t>
        </is>
      </c>
      <c r="T84" s="10" t="inlineStr">
        <is>
          <t>B</t>
        </is>
      </c>
      <c r="U84" s="8" t="inlineStr">
        <is>
          <t>2026-09-29</t>
        </is>
      </c>
      <c r="V84" s="5" t="inlineStr">
        <is>
          <t>Yes</t>
        </is>
      </c>
      <c r="W84" s="5" t="inlineStr">
        <is>
          <t>Medium</t>
        </is>
      </c>
      <c r="X84" s="5" t="inlineStr"/>
    </row>
    <row r="85">
      <c r="A85" s="5" t="inlineStr">
        <is>
          <t>E052</t>
        </is>
      </c>
      <c r="B85" s="5" t="inlineStr">
        <is>
          <t>E2EF9GZX</t>
        </is>
      </c>
      <c r="C85" s="5" t="inlineStr">
        <is>
          <t>Breaking the Training Barrier of Billion-Parameter Universal Machine Learning Interatomic Potentials</t>
        </is>
      </c>
      <c r="D85" s="5" t="inlineStr">
        <is>
          <t>2026</t>
        </is>
      </c>
      <c r="E85" s="5" t="inlineStr">
        <is>
          <t>Adjacent / supporting resource</t>
        </is>
      </c>
      <c r="F85" s="5" t="inlineStr">
        <is>
          <t>Supporting</t>
        </is>
      </c>
      <c r="G85" s="5" t="inlineStr">
        <is>
          <t>General and foundation MLIP evaluation</t>
        </is>
      </c>
      <c r="H85" s="5" t="inlineStr">
        <is>
          <t>Broad / mixed atomistic systems</t>
        </is>
      </c>
      <c r="I85" s="5" t="inlineStr">
        <is>
          <t>application-specific evaluation</t>
        </is>
      </c>
      <c r="J85" s="5" t="inlineStr"/>
      <c r="K85" s="5" t="inlineStr">
        <is>
          <t>task-specific metrics</t>
        </is>
      </c>
      <c r="L85" s="5" t="inlineStr">
        <is>
          <t>DFT / reference data (see paper)</t>
        </is>
      </c>
      <c r="M85" s="6" t="inlineStr">
        <is>
          <t>10.48550/arXiv.2604.15821</t>
        </is>
      </c>
      <c r="N85" s="7" t="inlineStr">
        <is>
          <t>http://arxiv.org/abs/2604.15821</t>
        </is>
      </c>
      <c r="O85" s="5" t="inlineStr"/>
      <c r="P85" s="5" t="inlineStr"/>
      <c r="Q85" s="5" t="inlineStr">
        <is>
          <t>No</t>
        </is>
      </c>
      <c r="R85" s="5" t="inlineStr">
        <is>
          <t>Unknown</t>
        </is>
      </c>
      <c r="S85" s="8" t="inlineStr">
        <is>
          <t>Existing Zotero bibliography; normalized</t>
        </is>
      </c>
      <c r="T85" s="10" t="inlineStr">
        <is>
          <t>B</t>
        </is>
      </c>
      <c r="U85" s="8" t="inlineStr">
        <is>
          <t>2026-09-29</t>
        </is>
      </c>
      <c r="V85" s="5" t="inlineStr">
        <is>
          <t>Yes</t>
        </is>
      </c>
      <c r="W85" s="5" t="inlineStr">
        <is>
          <t>Medium</t>
        </is>
      </c>
      <c r="X85" s="5" t="inlineStr"/>
    </row>
    <row r="86">
      <c r="A86" s="5" t="inlineStr">
        <is>
          <t>E006</t>
        </is>
      </c>
      <c r="B86" s="5" t="inlineStr">
        <is>
          <t>3NA9YACG</t>
        </is>
      </c>
      <c r="C86" s="5" t="inlineStr">
        <is>
          <t>Machine Learning Interatomic Potentials for Million-Atom Simulations of Multicomponent Alloys</t>
        </is>
      </c>
      <c r="D86" s="5" t="inlineStr">
        <is>
          <t>2026</t>
        </is>
      </c>
      <c r="E86" s="5" t="inlineStr">
        <is>
          <t>Adjacent / supporting resource</t>
        </is>
      </c>
      <c r="F86" s="5" t="inlineStr">
        <is>
          <t>Supporting</t>
        </is>
      </c>
      <c r="G86" s="5" t="inlineStr">
        <is>
          <t>General and foundation MLIP evaluation</t>
        </is>
      </c>
      <c r="H86" s="5" t="inlineStr">
        <is>
          <t>Metals / alloys / elemental solids</t>
        </is>
      </c>
      <c r="I86" s="5" t="inlineStr">
        <is>
          <t>molecular dynamics / stability</t>
        </is>
      </c>
      <c r="J86" s="5" t="inlineStr"/>
      <c r="K86" s="5" t="inlineStr">
        <is>
          <t>trajectory stability / physical observables</t>
        </is>
      </c>
      <c r="L86" s="5" t="inlineStr">
        <is>
          <t>DFT / reference data (see paper)</t>
        </is>
      </c>
      <c r="M86" s="5" t="inlineStr"/>
      <c r="N86" s="7" t="inlineStr">
        <is>
          <t>https://arxiv.org/abs/2604.01642v2</t>
        </is>
      </c>
      <c r="O86" s="5" t="inlineStr"/>
      <c r="P86" s="5" t="inlineStr"/>
      <c r="Q86" s="5" t="inlineStr">
        <is>
          <t>Unknown</t>
        </is>
      </c>
      <c r="R86" s="5" t="inlineStr">
        <is>
          <t>Unknown</t>
        </is>
      </c>
      <c r="S86" s="8" t="inlineStr">
        <is>
          <t>Existing Zotero bibliography; normalized</t>
        </is>
      </c>
      <c r="T86" s="10" t="inlineStr">
        <is>
          <t>B</t>
        </is>
      </c>
      <c r="U86" s="8" t="inlineStr">
        <is>
          <t>2026-09-29</t>
        </is>
      </c>
      <c r="V86" s="5" t="inlineStr">
        <is>
          <t>Yes</t>
        </is>
      </c>
      <c r="W86" s="5" t="inlineStr">
        <is>
          <t>Medium</t>
        </is>
      </c>
      <c r="X86" s="5" t="inlineStr"/>
    </row>
    <row r="87">
      <c r="A87" s="5" t="inlineStr">
        <is>
          <t>E043</t>
        </is>
      </c>
      <c r="B87" s="5" t="inlineStr">
        <is>
          <t>THA33WPH</t>
        </is>
      </c>
      <c r="C87" s="5" t="inlineStr">
        <is>
          <t>Machine-learned interatomic potentials for modeling multicomponent metallic systems: a comprehensive review</t>
        </is>
      </c>
      <c r="D87" s="5" t="inlineStr">
        <is>
          <t>2026</t>
        </is>
      </c>
      <c r="E87" s="5" t="inlineStr">
        <is>
          <t>Review / perspective</t>
        </is>
      </c>
      <c r="F87" s="5" t="inlineStr">
        <is>
          <t>Supporting</t>
        </is>
      </c>
      <c r="G87" s="5" t="inlineStr">
        <is>
          <t>General and foundation MLIP evaluation</t>
        </is>
      </c>
      <c r="H87" s="5" t="inlineStr">
        <is>
          <t>Metals / alloys / elemental solids</t>
        </is>
      </c>
      <c r="I87" s="5" t="inlineStr">
        <is>
          <t>application-specific evaluation</t>
        </is>
      </c>
      <c r="J87" s="5" t="inlineStr"/>
      <c r="K87" s="5" t="inlineStr">
        <is>
          <t>task-specific metrics</t>
        </is>
      </c>
      <c r="L87" s="5" t="inlineStr">
        <is>
          <t>DFT / reference data (see paper)</t>
        </is>
      </c>
      <c r="M87" s="6" t="inlineStr">
        <is>
          <t>10.1080/21663831.2026.2684721</t>
        </is>
      </c>
      <c r="N87" s="7" t="inlineStr">
        <is>
          <t>https://doi.org/10.1080/21663831.2026.2684721</t>
        </is>
      </c>
      <c r="O87" s="5" t="inlineStr"/>
      <c r="P87" s="5" t="inlineStr"/>
      <c r="Q87" s="5" t="inlineStr">
        <is>
          <t>Yes</t>
        </is>
      </c>
      <c r="R87" s="5" t="inlineStr">
        <is>
          <t>Unknown</t>
        </is>
      </c>
      <c r="S87" s="8" t="inlineStr">
        <is>
          <t>Existing Zotero bibliography; normalized</t>
        </is>
      </c>
      <c r="T87" s="10" t="inlineStr">
        <is>
          <t>B</t>
        </is>
      </c>
      <c r="U87" s="8" t="inlineStr">
        <is>
          <t>2026-09-29</t>
        </is>
      </c>
      <c r="V87" s="5" t="inlineStr">
        <is>
          <t>Yes</t>
        </is>
      </c>
      <c r="W87" s="5" t="inlineStr">
        <is>
          <t>Medium</t>
        </is>
      </c>
      <c r="X87" s="5" t="inlineStr"/>
    </row>
    <row r="88">
      <c r="A88" s="5" t="inlineStr">
        <is>
          <t>E051</t>
        </is>
      </c>
      <c r="B88" s="5" t="inlineStr">
        <is>
          <t>REXAKTQQ</t>
        </is>
      </c>
      <c r="C88" s="5" t="inlineStr">
        <is>
          <t>MatRIS: Toward Reliable and Efficient Pretrained Machine Learning Interatomic Potentials</t>
        </is>
      </c>
      <c r="D88" s="5" t="inlineStr">
        <is>
          <t>2026</t>
        </is>
      </c>
      <c r="E88" s="5" t="inlineStr">
        <is>
          <t>Adjacent / supporting resource</t>
        </is>
      </c>
      <c r="F88" s="5" t="inlineStr">
        <is>
          <t>Supporting</t>
        </is>
      </c>
      <c r="G88" s="5" t="inlineStr">
        <is>
          <t>General and foundation MLIP evaluation</t>
        </is>
      </c>
      <c r="H88" s="5" t="inlineStr">
        <is>
          <t>Broad / mixed atomistic systems</t>
        </is>
      </c>
      <c r="I88" s="5" t="inlineStr">
        <is>
          <t>efficiency / scaling</t>
        </is>
      </c>
      <c r="J88" s="5" t="inlineStr"/>
      <c r="K88" s="5" t="inlineStr">
        <is>
          <t>throughput / runtime / memory</t>
        </is>
      </c>
      <c r="L88" s="5" t="inlineStr">
        <is>
          <t>DFT / reference data (see paper)</t>
        </is>
      </c>
      <c r="M88" s="6" t="inlineStr">
        <is>
          <t>10.48550/arXiv.2603.02002</t>
        </is>
      </c>
      <c r="N88" s="7" t="inlineStr">
        <is>
          <t>http://arxiv.org/abs/2603.02002</t>
        </is>
      </c>
      <c r="O88" s="5" t="inlineStr"/>
      <c r="P88" s="5" t="inlineStr"/>
      <c r="Q88" s="5" t="inlineStr">
        <is>
          <t>No</t>
        </is>
      </c>
      <c r="R88" s="5" t="inlineStr">
        <is>
          <t>Unknown</t>
        </is>
      </c>
      <c r="S88" s="8" t="inlineStr">
        <is>
          <t>Existing Zotero bibliography; normalized</t>
        </is>
      </c>
      <c r="T88" s="10" t="inlineStr">
        <is>
          <t>B</t>
        </is>
      </c>
      <c r="U88" s="8" t="inlineStr">
        <is>
          <t>2026-09-29</t>
        </is>
      </c>
      <c r="V88" s="5" t="inlineStr">
        <is>
          <t>Yes</t>
        </is>
      </c>
      <c r="W88" s="5" t="inlineStr">
        <is>
          <t>Medium</t>
        </is>
      </c>
      <c r="X88" s="5" t="inlineStr"/>
    </row>
    <row r="89">
      <c r="A89" s="5" t="inlineStr">
        <is>
          <t>E044</t>
        </is>
      </c>
      <c r="B89" s="5" t="inlineStr">
        <is>
          <t>I2MAHD92</t>
        </is>
      </c>
      <c r="C89" s="5" t="inlineStr">
        <is>
          <t>Universal Interatomic Potentials as Configuration-Space Generators for One-Shot and Iterative Fine-Tuning of Ab Initio-Accurate Material-Specific Models</t>
        </is>
      </c>
      <c r="D89" s="5" t="inlineStr">
        <is>
          <t>2026</t>
        </is>
      </c>
      <c r="E89" s="5" t="inlineStr">
        <is>
          <t>Adjacent / supporting resource</t>
        </is>
      </c>
      <c r="F89" s="5" t="inlineStr">
        <is>
          <t>Supporting</t>
        </is>
      </c>
      <c r="G89" s="5" t="inlineStr">
        <is>
          <t>General and foundation MLIP evaluation</t>
        </is>
      </c>
      <c r="H89" s="5" t="inlineStr">
        <is>
          <t>Broad / mixed atomistic systems</t>
        </is>
      </c>
      <c r="I89" s="5" t="inlineStr">
        <is>
          <t>application-specific evaluation</t>
        </is>
      </c>
      <c r="J89" s="5" t="inlineStr"/>
      <c r="K89" s="5" t="inlineStr">
        <is>
          <t>task-specific metrics</t>
        </is>
      </c>
      <c r="L89" s="5" t="inlineStr">
        <is>
          <t>DFT / reference data (see paper)</t>
        </is>
      </c>
      <c r="M89" s="6" t="inlineStr">
        <is>
          <t>10.48550/arXiv.2606.23214</t>
        </is>
      </c>
      <c r="N89" s="7" t="inlineStr">
        <is>
          <t>http://arxiv.org/abs/2606.23214</t>
        </is>
      </c>
      <c r="O89" s="5" t="inlineStr"/>
      <c r="P89" s="5" t="inlineStr"/>
      <c r="Q89" s="5" t="inlineStr">
        <is>
          <t>No</t>
        </is>
      </c>
      <c r="R89" s="5" t="inlineStr">
        <is>
          <t>Unknown</t>
        </is>
      </c>
      <c r="S89" s="8" t="inlineStr">
        <is>
          <t>Existing Zotero bibliography; normalized</t>
        </is>
      </c>
      <c r="T89" s="10" t="inlineStr">
        <is>
          <t>B</t>
        </is>
      </c>
      <c r="U89" s="8" t="inlineStr">
        <is>
          <t>2026-09-29</t>
        </is>
      </c>
      <c r="V89" s="5" t="inlineStr">
        <is>
          <t>Yes</t>
        </is>
      </c>
      <c r="W89" s="5" t="inlineStr">
        <is>
          <t>Medium</t>
        </is>
      </c>
      <c r="X89" s="5" t="inlineStr"/>
    </row>
    <row r="90">
      <c r="A90" s="5" t="inlineStr">
        <is>
          <t>N039</t>
        </is>
      </c>
      <c r="B90" s="5" t="inlineStr"/>
      <c r="C90" s="5" t="inlineStr">
        <is>
          <t>Net force analysis of the B3LYP-D3BJ/DZVP subset of the SPICE dataset: A diagnostic tool for machine learning force fields</t>
        </is>
      </c>
      <c r="D90" s="5" t="inlineStr">
        <is>
          <t>2026</t>
        </is>
      </c>
      <c r="E90" s="5" t="inlineStr">
        <is>
          <t>Methodology / dataset diagnostic</t>
        </is>
      </c>
      <c r="F90" s="5" t="inlineStr">
        <is>
          <t>Supporting</t>
        </is>
      </c>
      <c r="G90" s="5" t="inlineStr">
        <is>
          <t>Methodology, reliability and efficiency</t>
        </is>
      </c>
      <c r="H90" s="5" t="inlineStr">
        <is>
          <t>SPICE molecular subset</t>
        </is>
      </c>
      <c r="I90" s="5" t="inlineStr">
        <is>
          <t>Reference-force consistency; size-aware diagnostics</t>
        </is>
      </c>
      <c r="J90" s="5" t="inlineStr">
        <is>
          <t>MLFF benchmark baselines</t>
        </is>
      </c>
      <c r="K90" s="5" t="inlineStr">
        <is>
          <t>Net force; RMSE; size-controlled statistics</t>
        </is>
      </c>
      <c r="L90" s="5" t="inlineStr">
        <is>
          <t>SPICE quantum chemistry</t>
        </is>
      </c>
      <c r="M90" s="6" t="inlineStr">
        <is>
          <t>10.1016/j.jmgm.2026.109522</t>
        </is>
      </c>
      <c r="N90" s="7" t="inlineStr">
        <is>
          <t>https://doi.org/10.1016/j.jmgm.2026.109522</t>
        </is>
      </c>
      <c r="O90" s="5" t="inlineStr"/>
      <c r="P90" s="5" t="inlineStr"/>
      <c r="Q90" s="5" t="inlineStr">
        <is>
          <t>Yes</t>
        </is>
      </c>
      <c r="R90" s="5" t="inlineStr">
        <is>
          <t>Unknown</t>
        </is>
      </c>
      <c r="S90" s="8" t="inlineStr">
        <is>
          <t>New literature sweep; web-verified</t>
        </is>
      </c>
      <c r="T90" s="9" t="inlineStr">
        <is>
          <t>A</t>
        </is>
      </c>
      <c r="U90" s="8" t="inlineStr">
        <is>
          <t>2026-09-29</t>
        </is>
      </c>
      <c r="V90" s="5" t="inlineStr">
        <is>
          <t>No</t>
        </is>
      </c>
      <c r="W90" s="5" t="inlineStr">
        <is>
          <t>Medium</t>
        </is>
      </c>
      <c r="X90" s="5" t="inlineStr">
        <is>
          <t>Dataset-quality diagnostic showing why apparent RMSE gains can be confounded by molecular size.</t>
        </is>
      </c>
    </row>
    <row r="91">
      <c r="A91" s="5" t="inlineStr">
        <is>
          <t>E068</t>
        </is>
      </c>
      <c r="B91" s="5" t="inlineStr">
        <is>
          <t>NANAVC5S</t>
        </is>
      </c>
      <c r="C91" s="5" t="inlineStr">
        <is>
          <t>Chemical intuition on bond-dissociation energies as an emergent ability of universal machine-learning interatomic potentials</t>
        </is>
      </c>
      <c r="D91" s="5" t="inlineStr">
        <is>
          <t>2026</t>
        </is>
      </c>
      <c r="E91" s="5" t="inlineStr">
        <is>
          <t>Adjacent / supporting resource</t>
        </is>
      </c>
      <c r="F91" s="5" t="inlineStr">
        <is>
          <t>Supporting</t>
        </is>
      </c>
      <c r="G91" s="5" t="inlineStr">
        <is>
          <t>Molecules, reactions and chemical kinetics</t>
        </is>
      </c>
      <c r="H91" s="5" t="inlineStr">
        <is>
          <t>Molecular / chemical systems</t>
        </is>
      </c>
      <c r="I91" s="5" t="inlineStr">
        <is>
          <t>application-specific evaluation</t>
        </is>
      </c>
      <c r="J91" s="5" t="inlineStr"/>
      <c r="K91" s="5" t="inlineStr">
        <is>
          <t>task-specific metrics</t>
        </is>
      </c>
      <c r="L91" s="5" t="inlineStr">
        <is>
          <t>DFT / reference data (see paper)</t>
        </is>
      </c>
      <c r="M91" s="6" t="inlineStr">
        <is>
          <t>10.1038/s41467-026-74919-8</t>
        </is>
      </c>
      <c r="N91" s="7" t="inlineStr">
        <is>
          <t>https://www.nature.com/articles/s41467-026-74919-8</t>
        </is>
      </c>
      <c r="O91" s="5" t="inlineStr"/>
      <c r="P91" s="5" t="inlineStr"/>
      <c r="Q91" s="5" t="inlineStr">
        <is>
          <t>Yes</t>
        </is>
      </c>
      <c r="R91" s="5" t="inlineStr">
        <is>
          <t>Unknown</t>
        </is>
      </c>
      <c r="S91" s="8" t="inlineStr">
        <is>
          <t>Existing Zotero bibliography; normalized</t>
        </is>
      </c>
      <c r="T91" s="10" t="inlineStr">
        <is>
          <t>B</t>
        </is>
      </c>
      <c r="U91" s="8" t="inlineStr">
        <is>
          <t>2026-09-29</t>
        </is>
      </c>
      <c r="V91" s="5" t="inlineStr">
        <is>
          <t>Yes</t>
        </is>
      </c>
      <c r="W91" s="5" t="inlineStr">
        <is>
          <t>Medium</t>
        </is>
      </c>
      <c r="X91" s="5" t="inlineStr"/>
    </row>
    <row r="92">
      <c r="A92" s="5" t="inlineStr">
        <is>
          <t>E047</t>
        </is>
      </c>
      <c r="B92" s="5" t="inlineStr">
        <is>
          <t>SYQSPQGZ</t>
        </is>
      </c>
      <c r="C92" s="5" t="inlineStr">
        <is>
          <t>Reactive machine learning potential for accelerating transition state search in organic synthesis</t>
        </is>
      </c>
      <c r="D92" s="5" t="inlineStr">
        <is>
          <t>2026</t>
        </is>
      </c>
      <c r="E92" s="5" t="inlineStr">
        <is>
          <t>Adjacent / supporting resource</t>
        </is>
      </c>
      <c r="F92" s="5" t="inlineStr">
        <is>
          <t>Supporting</t>
        </is>
      </c>
      <c r="G92" s="5" t="inlineStr">
        <is>
          <t>Molecules, reactions and chemical kinetics</t>
        </is>
      </c>
      <c r="H92" s="5" t="inlineStr">
        <is>
          <t>Broad / mixed atomistic systems</t>
        </is>
      </c>
      <c r="I92" s="5" t="inlineStr">
        <is>
          <t>application-specific evaluation</t>
        </is>
      </c>
      <c r="J92" s="5" t="inlineStr"/>
      <c r="K92" s="5" t="inlineStr">
        <is>
          <t>task-specific metrics</t>
        </is>
      </c>
      <c r="L92" s="5" t="inlineStr">
        <is>
          <t>DFT / reference data (see paper)</t>
        </is>
      </c>
      <c r="M92" s="6" t="inlineStr">
        <is>
          <t>10.1038/s41467-026-72945-0</t>
        </is>
      </c>
      <c r="N92" s="7" t="inlineStr">
        <is>
          <t>https://www.nature.com/articles/s41467-026-72945-0</t>
        </is>
      </c>
      <c r="O92" s="5" t="inlineStr"/>
      <c r="P92" s="5" t="inlineStr"/>
      <c r="Q92" s="5" t="inlineStr">
        <is>
          <t>Yes</t>
        </is>
      </c>
      <c r="R92" s="5" t="inlineStr">
        <is>
          <t>Unknown</t>
        </is>
      </c>
      <c r="S92" s="8" t="inlineStr">
        <is>
          <t>Existing Zotero bibliography; normalized</t>
        </is>
      </c>
      <c r="T92" s="10" t="inlineStr">
        <is>
          <t>B</t>
        </is>
      </c>
      <c r="U92" s="8" t="inlineStr">
        <is>
          <t>2026-09-29</t>
        </is>
      </c>
      <c r="V92" s="5" t="inlineStr">
        <is>
          <t>Yes</t>
        </is>
      </c>
      <c r="W92" s="5" t="inlineStr">
        <is>
          <t>Medium</t>
        </is>
      </c>
      <c r="X92" s="5" t="inlineStr"/>
    </row>
    <row r="93">
      <c r="A93" s="5" t="inlineStr">
        <is>
          <t>E063</t>
        </is>
      </c>
      <c r="B93" s="5" t="inlineStr">
        <is>
          <t>VWL8YETQ</t>
        </is>
      </c>
      <c r="C93" s="5" t="inlineStr">
        <is>
          <t>PFT: Phonon Fine-tuning for Machine Learned Interatomic Potentials</t>
        </is>
      </c>
      <c r="D93" s="5" t="inlineStr">
        <is>
          <t>2026</t>
        </is>
      </c>
      <c r="E93" s="5" t="inlineStr">
        <is>
          <t>Adjacent / supporting resource</t>
        </is>
      </c>
      <c r="F93" s="5" t="inlineStr">
        <is>
          <t>Supporting</t>
        </is>
      </c>
      <c r="G93" s="5" t="inlineStr">
        <is>
          <t>Phonons, vibrations and thermal</t>
        </is>
      </c>
      <c r="H93" s="5" t="inlineStr">
        <is>
          <t>Crystalline materials</t>
        </is>
      </c>
      <c r="I93" s="5" t="inlineStr">
        <is>
          <t>phonons / vibrational properties</t>
        </is>
      </c>
      <c r="J93" s="5" t="inlineStr"/>
      <c r="K93" s="5" t="inlineStr">
        <is>
          <t>phonon frequencies / stability</t>
        </is>
      </c>
      <c r="L93" s="5" t="inlineStr">
        <is>
          <t>DFT / reference data (see paper)</t>
        </is>
      </c>
      <c r="M93" s="6" t="inlineStr">
        <is>
          <t>10.48550/arXiv.2601.07742</t>
        </is>
      </c>
      <c r="N93" s="7" t="inlineStr">
        <is>
          <t>http://arxiv.org/abs/2601.07742</t>
        </is>
      </c>
      <c r="O93" s="5" t="inlineStr"/>
      <c r="P93" s="5" t="inlineStr"/>
      <c r="Q93" s="5" t="inlineStr">
        <is>
          <t>No</t>
        </is>
      </c>
      <c r="R93" s="5" t="inlineStr">
        <is>
          <t>Unknown</t>
        </is>
      </c>
      <c r="S93" s="8" t="inlineStr">
        <is>
          <t>Existing Zotero bibliography; normalized</t>
        </is>
      </c>
      <c r="T93" s="10" t="inlineStr">
        <is>
          <t>B</t>
        </is>
      </c>
      <c r="U93" s="8" t="inlineStr">
        <is>
          <t>2026-09-29</t>
        </is>
      </c>
      <c r="V93" s="5" t="inlineStr">
        <is>
          <t>Yes</t>
        </is>
      </c>
      <c r="W93" s="5" t="inlineStr">
        <is>
          <t>Medium</t>
        </is>
      </c>
      <c r="X93" s="5" t="inlineStr"/>
    </row>
    <row r="94">
      <c r="A94" s="5" t="inlineStr">
        <is>
          <t>E074</t>
        </is>
      </c>
      <c r="B94" s="5" t="inlineStr">
        <is>
          <t>FF4BJ89T</t>
        </is>
      </c>
      <c r="C94" s="5" t="inlineStr">
        <is>
          <t>Assessing universal MLIP robustness with per-atom uncertainty for simulations of solid-liquid interfaces</t>
        </is>
      </c>
      <c r="D94" s="5" t="inlineStr">
        <is>
          <t>2026</t>
        </is>
      </c>
      <c r="E94" s="5" t="inlineStr">
        <is>
          <t>Adjacent / supporting resource</t>
        </is>
      </c>
      <c r="F94" s="5" t="inlineStr">
        <is>
          <t>Supporting</t>
        </is>
      </c>
      <c r="G94" s="5" t="inlineStr">
        <is>
          <t>Surfaces, interfaces and catalysis</t>
        </is>
      </c>
      <c r="H94" s="5" t="inlineStr">
        <is>
          <t>Surfaces / interfaces / catalysts</t>
        </is>
      </c>
      <c r="I94" s="5" t="inlineStr">
        <is>
          <t>uncertainty / OOD</t>
        </is>
      </c>
      <c r="J94" s="5" t="inlineStr"/>
      <c r="K94" s="5" t="inlineStr">
        <is>
          <t>calibration / error-UQ correlation</t>
        </is>
      </c>
      <c r="L94" s="5" t="inlineStr">
        <is>
          <t>DFT / reference data (see paper)</t>
        </is>
      </c>
      <c r="M94" s="6" t="inlineStr">
        <is>
          <t>10.1038/s41524-026-02051-8</t>
        </is>
      </c>
      <c r="N94" s="7" t="inlineStr">
        <is>
          <t>https://www.nature.com/articles/s41524-026-02051-8</t>
        </is>
      </c>
      <c r="O94" s="5" t="inlineStr"/>
      <c r="P94" s="5" t="inlineStr"/>
      <c r="Q94" s="5" t="inlineStr">
        <is>
          <t>Yes</t>
        </is>
      </c>
      <c r="R94" s="5" t="inlineStr">
        <is>
          <t>Unknown</t>
        </is>
      </c>
      <c r="S94" s="8" t="inlineStr">
        <is>
          <t>Existing Zotero bibliography; normalized</t>
        </is>
      </c>
      <c r="T94" s="10" t="inlineStr">
        <is>
          <t>B</t>
        </is>
      </c>
      <c r="U94" s="8" t="inlineStr">
        <is>
          <t>2026-09-29</t>
        </is>
      </c>
      <c r="V94" s="5" t="inlineStr">
        <is>
          <t>Yes</t>
        </is>
      </c>
      <c r="W94" s="5" t="inlineStr">
        <is>
          <t>Medium</t>
        </is>
      </c>
      <c r="X94" s="5" t="inlineStr"/>
    </row>
    <row r="95">
      <c r="A95" s="5" t="inlineStr">
        <is>
          <t>E081</t>
        </is>
      </c>
      <c r="B95" s="5" t="inlineStr">
        <is>
          <t>92EVPBJ3</t>
        </is>
      </c>
      <c r="C95" s="5" t="inlineStr">
        <is>
          <t>How Ready Are Universal Machine-learned Interatomic Potentials for Carbon Capture Simulations?</t>
        </is>
      </c>
      <c r="D95" s="5" t="inlineStr">
        <is>
          <t>2026</t>
        </is>
      </c>
      <c r="E95" s="5" t="inlineStr">
        <is>
          <t>Adjacent / supporting resource</t>
        </is>
      </c>
      <c r="F95" s="5" t="inlineStr">
        <is>
          <t>Supporting</t>
        </is>
      </c>
      <c r="G95" s="5" t="inlineStr">
        <is>
          <t>Surfaces, interfaces and catalysis</t>
        </is>
      </c>
      <c r="H95" s="5" t="inlineStr">
        <is>
          <t>Broad / mixed atomistic systems</t>
        </is>
      </c>
      <c r="I95" s="5" t="inlineStr">
        <is>
          <t>application-specific evaluation</t>
        </is>
      </c>
      <c r="J95" s="5" t="inlineStr"/>
      <c r="K95" s="5" t="inlineStr">
        <is>
          <t>task-specific metrics</t>
        </is>
      </c>
      <c r="L95" s="5" t="inlineStr">
        <is>
          <t>DFT / reference data (see paper)</t>
        </is>
      </c>
      <c r="M95" s="6" t="inlineStr">
        <is>
          <t>10.26434/chemrxiv.15006048/v1</t>
        </is>
      </c>
      <c r="N95" s="7" t="inlineStr">
        <is>
          <t>https://chemrxiv.org/doi/full/10.26434/chemrxiv.15006048/v1</t>
        </is>
      </c>
      <c r="O95" s="5" t="inlineStr"/>
      <c r="P95" s="5" t="inlineStr"/>
      <c r="Q95" s="5" t="inlineStr">
        <is>
          <t>No</t>
        </is>
      </c>
      <c r="R95" s="5" t="inlineStr">
        <is>
          <t>Unknown</t>
        </is>
      </c>
      <c r="S95" s="8" t="inlineStr">
        <is>
          <t>Existing Zotero bibliography; normalized</t>
        </is>
      </c>
      <c r="T95" s="10" t="inlineStr">
        <is>
          <t>B</t>
        </is>
      </c>
      <c r="U95" s="8" t="inlineStr">
        <is>
          <t>2026-09-29</t>
        </is>
      </c>
      <c r="V95" s="5" t="inlineStr">
        <is>
          <t>Yes</t>
        </is>
      </c>
      <c r="W95" s="5" t="inlineStr">
        <is>
          <t>Medium</t>
        </is>
      </c>
      <c r="X95" s="5" t="inlineStr"/>
    </row>
    <row r="96">
      <c r="A96" s="5" t="inlineStr">
        <is>
          <t>E003</t>
        </is>
      </c>
      <c r="B96" s="5" t="inlineStr">
        <is>
          <t>2TYEERRH</t>
        </is>
      </c>
      <c r="C96" s="5" t="inlineStr">
        <is>
          <t>Materials Graph Library (MatGL), an open-source graph deep learning library for materials science and chemistry</t>
        </is>
      </c>
      <c r="D96" s="5" t="inlineStr">
        <is>
          <t>2025</t>
        </is>
      </c>
      <c r="E96" s="5" t="inlineStr">
        <is>
          <t>Adjacent / supporting resource</t>
        </is>
      </c>
      <c r="F96" s="5" t="inlineStr">
        <is>
          <t>Supporting</t>
        </is>
      </c>
      <c r="G96" s="5" t="inlineStr">
        <is>
          <t>Broader atomistic ML benchmarks</t>
        </is>
      </c>
      <c r="H96" s="5" t="inlineStr">
        <is>
          <t>Broad / mixed atomistic systems</t>
        </is>
      </c>
      <c r="I96" s="5" t="inlineStr">
        <is>
          <t>application-specific evaluation</t>
        </is>
      </c>
      <c r="J96" s="5" t="inlineStr"/>
      <c r="K96" s="5" t="inlineStr">
        <is>
          <t>task-specific metrics</t>
        </is>
      </c>
      <c r="L96" s="5" t="inlineStr">
        <is>
          <t>DFT / reference data (see paper)</t>
        </is>
      </c>
      <c r="M96" s="6" t="inlineStr">
        <is>
          <t>10.1038/s41524-025-01742-y</t>
        </is>
      </c>
      <c r="N96" s="7" t="inlineStr">
        <is>
          <t>https://www.nature.com/articles/s41524-025-01742-y</t>
        </is>
      </c>
      <c r="O96" s="5" t="inlineStr"/>
      <c r="P96" s="5" t="inlineStr"/>
      <c r="Q96" s="5" t="inlineStr">
        <is>
          <t>Yes</t>
        </is>
      </c>
      <c r="R96" s="5" t="inlineStr">
        <is>
          <t>Unknown</t>
        </is>
      </c>
      <c r="S96" s="8" t="inlineStr">
        <is>
          <t>Existing Zotero bibliography; normalized</t>
        </is>
      </c>
      <c r="T96" s="10" t="inlineStr">
        <is>
          <t>B</t>
        </is>
      </c>
      <c r="U96" s="8" t="inlineStr">
        <is>
          <t>2026-09-29</t>
        </is>
      </c>
      <c r="V96" s="5" t="inlineStr">
        <is>
          <t>Yes</t>
        </is>
      </c>
      <c r="W96" s="5" t="inlineStr">
        <is>
          <t>Medium</t>
        </is>
      </c>
      <c r="X96" s="5" t="inlineStr"/>
    </row>
    <row r="97">
      <c r="A97" s="5" t="inlineStr">
        <is>
          <t>E017</t>
        </is>
      </c>
      <c r="B97" s="5" t="inlineStr">
        <is>
          <t>EBF58G5C</t>
        </is>
      </c>
      <c r="C97" s="5" t="inlineStr">
        <is>
          <t>Open Materials Generation with Stochastic Interpolants</t>
        </is>
      </c>
      <c r="D97" s="5" t="inlineStr">
        <is>
          <t>2025</t>
        </is>
      </c>
      <c r="E97" s="5" t="inlineStr">
        <is>
          <t>Adjacent / supporting resource</t>
        </is>
      </c>
      <c r="F97" s="5" t="inlineStr">
        <is>
          <t>Supporting</t>
        </is>
      </c>
      <c r="G97" s="5" t="inlineStr">
        <is>
          <t>Crystal search, stability and generation</t>
        </is>
      </c>
      <c r="H97" s="5" t="inlineStr">
        <is>
          <t>Broad / mixed atomistic systems</t>
        </is>
      </c>
      <c r="I97" s="5" t="inlineStr">
        <is>
          <t>application-specific evaluation</t>
        </is>
      </c>
      <c r="J97" s="5" t="inlineStr"/>
      <c r="K97" s="5" t="inlineStr">
        <is>
          <t>task-specific metrics</t>
        </is>
      </c>
      <c r="L97" s="5" t="inlineStr">
        <is>
          <t>DFT / reference data (see paper)</t>
        </is>
      </c>
      <c r="M97" s="5" t="inlineStr"/>
      <c r="N97" s="7" t="inlineStr">
        <is>
          <t>https://openreview.net/forum?id=gHGrzxFujU</t>
        </is>
      </c>
      <c r="O97" s="5" t="inlineStr"/>
      <c r="P97" s="5" t="inlineStr"/>
      <c r="Q97" s="5" t="inlineStr">
        <is>
          <t>Unknown</t>
        </is>
      </c>
      <c r="R97" s="5" t="inlineStr">
        <is>
          <t>Unknown</t>
        </is>
      </c>
      <c r="S97" s="8" t="inlineStr">
        <is>
          <t>Existing Zotero bibliography; normalized</t>
        </is>
      </c>
      <c r="T97" s="10" t="inlineStr">
        <is>
          <t>B</t>
        </is>
      </c>
      <c r="U97" s="8" t="inlineStr">
        <is>
          <t>2026-09-29</t>
        </is>
      </c>
      <c r="V97" s="5" t="inlineStr">
        <is>
          <t>Yes</t>
        </is>
      </c>
      <c r="W97" s="5" t="inlineStr">
        <is>
          <t>Medium</t>
        </is>
      </c>
      <c r="X97" s="5" t="inlineStr"/>
    </row>
    <row r="98">
      <c r="A98" s="5" t="inlineStr">
        <is>
          <t>E014</t>
        </is>
      </c>
      <c r="B98" s="5" t="inlineStr">
        <is>
          <t>DIKB87E5</t>
        </is>
      </c>
      <c r="C98" s="5" t="inlineStr">
        <is>
          <t>A Foundational Potential Energy Surface Dataset for Materials</t>
        </is>
      </c>
      <c r="D98" s="5" t="inlineStr">
        <is>
          <t>2025</t>
        </is>
      </c>
      <c r="E98" s="5" t="inlineStr">
        <is>
          <t>Benchmark-supporting dataset</t>
        </is>
      </c>
      <c r="F98" s="5" t="inlineStr">
        <is>
          <t>Supporting</t>
        </is>
      </c>
      <c r="G98" s="5" t="inlineStr">
        <is>
          <t>Foundation datasets and model ecosystems</t>
        </is>
      </c>
      <c r="H98" s="5" t="inlineStr">
        <is>
          <t>Inorganic materials</t>
        </is>
      </c>
      <c r="I98" s="5" t="inlineStr">
        <is>
          <t>PES dataset; equilibrium/off-equilibrium property benchmarks</t>
        </is>
      </c>
      <c r="J98" s="5" t="inlineStr"/>
      <c r="K98" s="5" t="inlineStr">
        <is>
          <t>E/F/S and downstream property metrics</t>
        </is>
      </c>
      <c r="L98" s="5" t="inlineStr">
        <is>
          <t>DFT / reference data (see paper)</t>
        </is>
      </c>
      <c r="M98" s="6" t="inlineStr">
        <is>
          <t>10.48550/arXiv.2503.04070</t>
        </is>
      </c>
      <c r="N98" s="7" t="inlineStr">
        <is>
          <t>https://arxiv.org/abs/2503.04070</t>
        </is>
      </c>
      <c r="O98" s="7" t="inlineStr">
        <is>
          <t>https://matcalc.ai/</t>
        </is>
      </c>
      <c r="P98" s="7" t="inlineStr">
        <is>
          <t>https://huggingface.co/datasets/materialyze/matpes</t>
        </is>
      </c>
      <c r="Q98" s="5" t="inlineStr">
        <is>
          <t>No</t>
        </is>
      </c>
      <c r="R98" s="5" t="inlineStr">
        <is>
          <t>Yes</t>
        </is>
      </c>
      <c r="S98" s="8" t="inlineStr">
        <is>
          <t>Existing Zotero bibliography; normalized</t>
        </is>
      </c>
      <c r="T98" s="10" t="inlineStr">
        <is>
          <t>B</t>
        </is>
      </c>
      <c r="U98" s="8" t="inlineStr">
        <is>
          <t>2026-09-29</t>
        </is>
      </c>
      <c r="V98" s="5" t="inlineStr">
        <is>
          <t>Yes</t>
        </is>
      </c>
      <c r="W98" s="5" t="inlineStr">
        <is>
          <t>High</t>
        </is>
      </c>
      <c r="X98" s="5" t="inlineStr"/>
    </row>
    <row r="99">
      <c r="A99" s="5" t="inlineStr">
        <is>
          <t>N029</t>
        </is>
      </c>
      <c r="B99" s="5" t="inlineStr"/>
      <c r="C99" s="5" t="inlineStr">
        <is>
          <t>MP-ALOE: an r2SCAN dataset for universal machine learning interatomic potentials</t>
        </is>
      </c>
      <c r="D99" s="5" t="inlineStr">
        <is>
          <t>2025</t>
        </is>
      </c>
      <c r="E99" s="5" t="inlineStr">
        <is>
          <t>Benchmark-supporting dataset</t>
        </is>
      </c>
      <c r="F99" s="5" t="inlineStr">
        <is>
          <t>Supporting</t>
        </is>
      </c>
      <c r="G99" s="5" t="inlineStr">
        <is>
          <t>Foundation datasets and model ecosystems</t>
        </is>
      </c>
      <c r="H99" s="5" t="inlineStr">
        <is>
          <t>Inorganic materials, off-equilibrium</t>
        </is>
      </c>
      <c r="I99" s="5" t="inlineStr">
        <is>
          <t>Active-learning PES data; off-equilibrium force benchmark</t>
        </is>
      </c>
      <c r="J99" s="5" t="inlineStr">
        <is>
          <t>MACE and universal MLIPs</t>
        </is>
      </c>
      <c r="K99" s="5" t="inlineStr">
        <is>
          <t>Energy/force errors; off-equilibrium robustness</t>
        </is>
      </c>
      <c r="L99" s="5" t="inlineStr">
        <is>
          <t>r2SCAN DFT</t>
        </is>
      </c>
      <c r="M99" s="6" t="inlineStr">
        <is>
          <t>10.1038/s41524-025-01834-9</t>
        </is>
      </c>
      <c r="N99" s="7" t="inlineStr">
        <is>
          <t>https://doi.org/10.1038/s41524-025-01834-9</t>
        </is>
      </c>
      <c r="O99" s="7" t="inlineStr">
        <is>
          <t>https://github.com/matthewkuner/MP-ALOE</t>
        </is>
      </c>
      <c r="P99" s="7" t="inlineStr">
        <is>
          <t>https://doi.org/10.6084/m9.figshare.29452190</t>
        </is>
      </c>
      <c r="Q99" s="5" t="inlineStr">
        <is>
          <t>Yes</t>
        </is>
      </c>
      <c r="R99" s="5" t="inlineStr">
        <is>
          <t>Yes</t>
        </is>
      </c>
      <c r="S99" s="8" t="inlineStr">
        <is>
          <t>New literature sweep; web-verified</t>
        </is>
      </c>
      <c r="T99" s="9" t="inlineStr">
        <is>
          <t>A</t>
        </is>
      </c>
      <c r="U99" s="8" t="inlineStr">
        <is>
          <t>2026-09-29</t>
        </is>
      </c>
      <c r="V99" s="5" t="inlineStr">
        <is>
          <t>No</t>
        </is>
      </c>
      <c r="W99" s="5" t="inlineStr">
        <is>
          <t>Medium</t>
        </is>
      </c>
      <c r="X99" s="5" t="inlineStr">
        <is>
          <t>Nearly one million r2SCAN calculations over 89 elements.</t>
        </is>
      </c>
    </row>
    <row r="100">
      <c r="A100" s="5" t="inlineStr">
        <is>
          <t>N019</t>
        </is>
      </c>
      <c r="B100" s="5" t="inlineStr"/>
      <c r="C100" s="5" t="inlineStr">
        <is>
          <t>The Open Catalyst 2025 (OC25) Dataset and Models for Solid-Liquid Interfaces</t>
        </is>
      </c>
      <c r="D100" s="5" t="inlineStr">
        <is>
          <t>2025</t>
        </is>
      </c>
      <c r="E100" s="5" t="inlineStr">
        <is>
          <t>Benchmark-supporting dataset</t>
        </is>
      </c>
      <c r="F100" s="5" t="inlineStr">
        <is>
          <t>Supporting</t>
        </is>
      </c>
      <c r="G100" s="5" t="inlineStr">
        <is>
          <t>Foundation datasets and model ecosystems</t>
        </is>
      </c>
      <c r="H100" s="5" t="inlineStr">
        <is>
          <t>Explicit-solvent solid-liquid interfaces</t>
        </is>
      </c>
      <c r="I100" s="5" t="inlineStr">
        <is>
          <t>Solid-liquid interface PES; solvation; off-equilibrium modeling</t>
        </is>
      </c>
      <c r="J100" s="5" t="inlineStr">
        <is>
          <t>OC25 baseline/foundation models</t>
        </is>
      </c>
      <c r="K100" s="5" t="inlineStr">
        <is>
          <t>Energy; force; solvation-energy errors</t>
        </is>
      </c>
      <c r="L100" s="5" t="inlineStr">
        <is>
          <t>DFT</t>
        </is>
      </c>
      <c r="M100" s="5" t="inlineStr"/>
      <c r="N100" s="7" t="inlineStr">
        <is>
          <t>https://arxiv.org/abs/2509.17862</t>
        </is>
      </c>
      <c r="O100" s="7" t="inlineStr">
        <is>
          <t>https://github.com/FAIR-Chem/fairchem</t>
        </is>
      </c>
      <c r="P100" s="5" t="inlineStr"/>
      <c r="Q100" s="5" t="inlineStr">
        <is>
          <t>No</t>
        </is>
      </c>
      <c r="R100" s="5" t="inlineStr">
        <is>
          <t>Yes</t>
        </is>
      </c>
      <c r="S100" s="8" t="inlineStr">
        <is>
          <t>New literature sweep; web-verified</t>
        </is>
      </c>
      <c r="T100" s="9" t="inlineStr">
        <is>
          <t>A</t>
        </is>
      </c>
      <c r="U100" s="8" t="inlineStr">
        <is>
          <t>2026-09-29</t>
        </is>
      </c>
      <c r="V100" s="5" t="inlineStr">
        <is>
          <t>No</t>
        </is>
      </c>
      <c r="W100" s="5" t="inlineStr">
        <is>
          <t>Medium</t>
        </is>
      </c>
      <c r="X100" s="5" t="inlineStr">
        <is>
          <t>7.8 million calculations across 1.5 million explicit-solvent environments.</t>
        </is>
      </c>
    </row>
    <row r="101">
      <c r="A101" s="5" t="inlineStr">
        <is>
          <t>N018</t>
        </is>
      </c>
      <c r="B101" s="5" t="inlineStr"/>
      <c r="C101" s="5" t="inlineStr">
        <is>
          <t>The Open Molecules 2025 (OMol25) Dataset, Evaluations, and Models</t>
        </is>
      </c>
      <c r="D101" s="5" t="inlineStr">
        <is>
          <t>2025</t>
        </is>
      </c>
      <c r="E101" s="5" t="inlineStr">
        <is>
          <t>Benchmark-supporting dataset</t>
        </is>
      </c>
      <c r="F101" s="5" t="inlineStr">
        <is>
          <t>Supporting</t>
        </is>
      </c>
      <c r="G101" s="5" t="inlineStr">
        <is>
          <t>Foundation datasets and model ecosystems</t>
        </is>
      </c>
      <c r="H101" s="5" t="inlineStr">
        <is>
          <t>Small molecules, biomolecules, metal complexes, electrolytes</t>
        </is>
      </c>
      <c r="I101" s="5" t="inlineStr">
        <is>
          <t>Molecular PES training and broad OOD evaluation</t>
        </is>
      </c>
      <c r="J101" s="5" t="inlineStr">
        <is>
          <t>UMA molecular models and baselines</t>
        </is>
      </c>
      <c r="K101" s="5" t="inlineStr">
        <is>
          <t>Energy/force errors across chemistry splits and downstream evaluations</t>
        </is>
      </c>
      <c r="L101" s="5" t="inlineStr">
        <is>
          <t>omegaB97M-V/def2-TZVPD DFT</t>
        </is>
      </c>
      <c r="M101" s="5" t="inlineStr"/>
      <c r="N101" s="7" t="inlineStr">
        <is>
          <t>https://arxiv.org/abs/2505.08762</t>
        </is>
      </c>
      <c r="O101" s="7" t="inlineStr">
        <is>
          <t>https://github.com/FAIR-Chem/fairchem</t>
        </is>
      </c>
      <c r="P101" s="5" t="inlineStr"/>
      <c r="Q101" s="5" t="inlineStr">
        <is>
          <t>No</t>
        </is>
      </c>
      <c r="R101" s="5" t="inlineStr">
        <is>
          <t>Yes</t>
        </is>
      </c>
      <c r="S101" s="8" t="inlineStr">
        <is>
          <t>New literature sweep; web-verified</t>
        </is>
      </c>
      <c r="T101" s="9" t="inlineStr">
        <is>
          <t>A</t>
        </is>
      </c>
      <c r="U101" s="8" t="inlineStr">
        <is>
          <t>2026-09-29</t>
        </is>
      </c>
      <c r="V101" s="5" t="inlineStr">
        <is>
          <t>No</t>
        </is>
      </c>
      <c r="W101" s="5" t="inlineStr">
        <is>
          <t>Medium</t>
        </is>
      </c>
      <c r="X101" s="5" t="inlineStr">
        <is>
          <t>More than 100 million DFT calculations, 83 elements, systems up to 350 atoms.</t>
        </is>
      </c>
    </row>
    <row r="102">
      <c r="A102" s="5" t="inlineStr">
        <is>
          <t>N034</t>
        </is>
      </c>
      <c r="B102" s="5" t="inlineStr"/>
      <c r="C102" s="5" t="inlineStr">
        <is>
          <t>A foundation model for atomistic materials chemistry</t>
        </is>
      </c>
      <c r="D102" s="5" t="inlineStr">
        <is>
          <t>2025</t>
        </is>
      </c>
      <c r="E102" s="5" t="inlineStr">
        <is>
          <t>Foundation-model validation study</t>
        </is>
      </c>
      <c r="F102" s="5" t="inlineStr">
        <is>
          <t>Supporting</t>
        </is>
      </c>
      <c r="G102" s="5" t="inlineStr">
        <is>
          <t>General and foundation MLIP evaluation</t>
        </is>
      </c>
      <c r="H102" s="5" t="inlineStr">
        <is>
          <t>Solids, liquids, gases, reactions, interfaces, protein</t>
        </is>
      </c>
      <c r="I102" s="5" t="inlineStr">
        <is>
          <t>Broad zero-shot application suite; fine-tuning</t>
        </is>
      </c>
      <c r="J102" s="5" t="inlineStr">
        <is>
          <t>MACE-MP-0</t>
        </is>
      </c>
      <c r="K102" s="5" t="inlineStr">
        <is>
          <t>Application-specific properties; MD stability; fine-tuning data efficiency</t>
        </is>
      </c>
      <c r="L102" s="5" t="inlineStr">
        <is>
          <t>DFT / experiment</t>
        </is>
      </c>
      <c r="M102" s="6" t="inlineStr">
        <is>
          <t>10.1063/5.0297006</t>
        </is>
      </c>
      <c r="N102" s="7" t="inlineStr">
        <is>
          <t>https://doi.org/10.1063/5.0297006</t>
        </is>
      </c>
      <c r="O102" s="7" t="inlineStr">
        <is>
          <t>https://github.com/ACEsuit/mace-mp</t>
        </is>
      </c>
      <c r="P102" s="7" t="inlineStr">
        <is>
          <t>https://github.com/ACEsuit/mace-mp</t>
        </is>
      </c>
      <c r="Q102" s="5" t="inlineStr">
        <is>
          <t>Yes</t>
        </is>
      </c>
      <c r="R102" s="5" t="inlineStr">
        <is>
          <t>Yes</t>
        </is>
      </c>
      <c r="S102" s="8" t="inlineStr">
        <is>
          <t>New literature sweep; web-verified</t>
        </is>
      </c>
      <c r="T102" s="9" t="inlineStr">
        <is>
          <t>A</t>
        </is>
      </c>
      <c r="U102" s="8" t="inlineStr">
        <is>
          <t>2026-09-29</t>
        </is>
      </c>
      <c r="V102" s="5" t="inlineStr">
        <is>
          <t>No</t>
        </is>
      </c>
      <c r="W102" s="5" t="inlineStr">
        <is>
          <t>Medium</t>
        </is>
      </c>
      <c r="X102" s="5" t="inlineStr">
        <is>
          <t>Broad application appendix is a useful de facto stress-test suite, though this is primarily a model paper.</t>
        </is>
      </c>
    </row>
    <row r="103">
      <c r="A103" s="5" t="inlineStr">
        <is>
          <t>E036</t>
        </is>
      </c>
      <c r="B103" s="5" t="inlineStr">
        <is>
          <t>BUDNJZ6Q</t>
        </is>
      </c>
      <c r="C103" s="5" t="inlineStr">
        <is>
          <t>Accelerating CALPHAD-based phase diagram predictions in complex alloys using universal machine learning potentials: Opportunities and challenges</t>
        </is>
      </c>
      <c r="D103" s="5" t="inlineStr">
        <is>
          <t>2025</t>
        </is>
      </c>
      <c r="E103" s="5" t="inlineStr">
        <is>
          <t>Adjacent / supporting resource</t>
        </is>
      </c>
      <c r="F103" s="5" t="inlineStr">
        <is>
          <t>Supporting</t>
        </is>
      </c>
      <c r="G103" s="5" t="inlineStr">
        <is>
          <t>General and foundation MLIP evaluation</t>
        </is>
      </c>
      <c r="H103" s="5" t="inlineStr">
        <is>
          <t>Metals / alloys / elemental solids</t>
        </is>
      </c>
      <c r="I103" s="5" t="inlineStr">
        <is>
          <t>application-specific evaluation</t>
        </is>
      </c>
      <c r="J103" s="5" t="inlineStr"/>
      <c r="K103" s="5" t="inlineStr">
        <is>
          <t>task-specific metrics</t>
        </is>
      </c>
      <c r="L103" s="5" t="inlineStr">
        <is>
          <t>DFT / reference data (see paper)</t>
        </is>
      </c>
      <c r="M103" s="6" t="inlineStr">
        <is>
          <t>10.1016/j.actamat.2025.120747</t>
        </is>
      </c>
      <c r="N103" s="7" t="inlineStr">
        <is>
          <t>https://www.sciencedirect.com/science/article/pii/S1359645425000400</t>
        </is>
      </c>
      <c r="O103" s="5" t="inlineStr"/>
      <c r="P103" s="5" t="inlineStr"/>
      <c r="Q103" s="5" t="inlineStr">
        <is>
          <t>Yes</t>
        </is>
      </c>
      <c r="R103" s="5" t="inlineStr">
        <is>
          <t>Unknown</t>
        </is>
      </c>
      <c r="S103" s="8" t="inlineStr">
        <is>
          <t>Existing Zotero bibliography; normalized</t>
        </is>
      </c>
      <c r="T103" s="10" t="inlineStr">
        <is>
          <t>B</t>
        </is>
      </c>
      <c r="U103" s="8" t="inlineStr">
        <is>
          <t>2026-09-29</t>
        </is>
      </c>
      <c r="V103" s="5" t="inlineStr">
        <is>
          <t>Yes</t>
        </is>
      </c>
      <c r="W103" s="5" t="inlineStr">
        <is>
          <t>Medium</t>
        </is>
      </c>
      <c r="X103" s="5" t="inlineStr"/>
    </row>
    <row r="104">
      <c r="A104" s="5" t="inlineStr">
        <is>
          <t>E045</t>
        </is>
      </c>
      <c r="B104" s="5" t="inlineStr">
        <is>
          <t>DR4AZ8N8</t>
        </is>
      </c>
      <c r="C104" s="5" t="inlineStr">
        <is>
          <t>Machine learning interatomic potentials at the centennial crossroads of quantum mechanics</t>
        </is>
      </c>
      <c r="D104" s="5" t="inlineStr">
        <is>
          <t>2025</t>
        </is>
      </c>
      <c r="E104" s="5" t="inlineStr">
        <is>
          <t>Review / perspective</t>
        </is>
      </c>
      <c r="F104" s="5" t="inlineStr">
        <is>
          <t>Supporting</t>
        </is>
      </c>
      <c r="G104" s="5" t="inlineStr">
        <is>
          <t>General and foundation MLIP evaluation</t>
        </is>
      </c>
      <c r="H104" s="5" t="inlineStr">
        <is>
          <t>Broad / mixed atomistic systems</t>
        </is>
      </c>
      <c r="I104" s="5" t="inlineStr">
        <is>
          <t>application-specific evaluation</t>
        </is>
      </c>
      <c r="J104" s="5" t="inlineStr"/>
      <c r="K104" s="5" t="inlineStr">
        <is>
          <t>task-specific metrics</t>
        </is>
      </c>
      <c r="L104" s="5" t="inlineStr">
        <is>
          <t>DFT / reference data (see paper)</t>
        </is>
      </c>
      <c r="M104" s="6" t="inlineStr">
        <is>
          <t>10.1038/s43588-025-00930-6</t>
        </is>
      </c>
      <c r="N104" s="7" t="inlineStr">
        <is>
          <t>https://www.nature.com/articles/s43588-025-00930-6</t>
        </is>
      </c>
      <c r="O104" s="5" t="inlineStr"/>
      <c r="P104" s="5" t="inlineStr"/>
      <c r="Q104" s="5" t="inlineStr">
        <is>
          <t>Yes</t>
        </is>
      </c>
      <c r="R104" s="5" t="inlineStr">
        <is>
          <t>Unknown</t>
        </is>
      </c>
      <c r="S104" s="8" t="inlineStr">
        <is>
          <t>Existing Zotero bibliography; normalized</t>
        </is>
      </c>
      <c r="T104" s="10" t="inlineStr">
        <is>
          <t>B</t>
        </is>
      </c>
      <c r="U104" s="8" t="inlineStr">
        <is>
          <t>2026-09-29</t>
        </is>
      </c>
      <c r="V104" s="5" t="inlineStr">
        <is>
          <t>Yes</t>
        </is>
      </c>
      <c r="W104" s="5" t="inlineStr">
        <is>
          <t>Medium</t>
        </is>
      </c>
      <c r="X104" s="5" t="inlineStr"/>
    </row>
    <row r="105">
      <c r="A105" s="5" t="inlineStr">
        <is>
          <t>E008</t>
        </is>
      </c>
      <c r="B105" s="5" t="inlineStr">
        <is>
          <t>BLNL3NUW</t>
        </is>
      </c>
      <c r="C105" s="5" t="inlineStr">
        <is>
          <t>Machine-learning interatomic potentials from a users perspective: a comparison of accuracy, speed and data efficiency</t>
        </is>
      </c>
      <c r="D105" s="5" t="inlineStr">
        <is>
          <t>2025</t>
        </is>
      </c>
      <c r="E105" s="5" t="inlineStr">
        <is>
          <t>Adjacent / supporting resource</t>
        </is>
      </c>
      <c r="F105" s="5" t="inlineStr">
        <is>
          <t>Supporting</t>
        </is>
      </c>
      <c r="G105" s="5" t="inlineStr">
        <is>
          <t>General and foundation MLIP evaluation</t>
        </is>
      </c>
      <c r="H105" s="5" t="inlineStr">
        <is>
          <t>Broad / mixed atomistic systems</t>
        </is>
      </c>
      <c r="I105" s="5" t="inlineStr">
        <is>
          <t>efficiency / scaling</t>
        </is>
      </c>
      <c r="J105" s="5" t="inlineStr"/>
      <c r="K105" s="5" t="inlineStr">
        <is>
          <t>throughput / runtime / memory</t>
        </is>
      </c>
      <c r="L105" s="5" t="inlineStr">
        <is>
          <t>DFT / reference data (see paper)</t>
        </is>
      </c>
      <c r="M105" s="6" t="inlineStr">
        <is>
          <t>10.1088/1361-651X/adf56d</t>
        </is>
      </c>
      <c r="N105" s="7" t="inlineStr">
        <is>
          <t>https://doi.org/10.1088/1361-651X/adf56d</t>
        </is>
      </c>
      <c r="O105" s="5" t="inlineStr"/>
      <c r="P105" s="5" t="inlineStr"/>
      <c r="Q105" s="5" t="inlineStr">
        <is>
          <t>Yes</t>
        </is>
      </c>
      <c r="R105" s="5" t="inlineStr">
        <is>
          <t>Unknown</t>
        </is>
      </c>
      <c r="S105" s="8" t="inlineStr">
        <is>
          <t>Existing Zotero bibliography; normalized</t>
        </is>
      </c>
      <c r="T105" s="10" t="inlineStr">
        <is>
          <t>B</t>
        </is>
      </c>
      <c r="U105" s="8" t="inlineStr">
        <is>
          <t>2026-09-29</t>
        </is>
      </c>
      <c r="V105" s="5" t="inlineStr">
        <is>
          <t>Yes</t>
        </is>
      </c>
      <c r="W105" s="5" t="inlineStr">
        <is>
          <t>Medium</t>
        </is>
      </c>
      <c r="X105" s="5" t="inlineStr"/>
    </row>
    <row r="106">
      <c r="A106" s="5" t="inlineStr">
        <is>
          <t>E016</t>
        </is>
      </c>
      <c r="B106" s="5" t="inlineStr">
        <is>
          <t>WFK3VAE8</t>
        </is>
      </c>
      <c r="C106" s="5" t="inlineStr">
        <is>
          <t>PLaID++: A Preference Aligned Language Model for Targeted Inorganic Materials Design</t>
        </is>
      </c>
      <c r="D106" s="5" t="inlineStr">
        <is>
          <t>2025</t>
        </is>
      </c>
      <c r="E106" s="5" t="inlineStr">
        <is>
          <t>Adjacent / supporting resource</t>
        </is>
      </c>
      <c r="F106" s="5" t="inlineStr">
        <is>
          <t>Supporting</t>
        </is>
      </c>
      <c r="G106" s="5" t="inlineStr">
        <is>
          <t>General and foundation MLIP evaluation</t>
        </is>
      </c>
      <c r="H106" s="5" t="inlineStr">
        <is>
          <t>Broad / mixed atomistic systems</t>
        </is>
      </c>
      <c r="I106" s="5" t="inlineStr">
        <is>
          <t>application-specific evaluation</t>
        </is>
      </c>
      <c r="J106" s="5" t="inlineStr"/>
      <c r="K106" s="5" t="inlineStr">
        <is>
          <t>task-specific metrics</t>
        </is>
      </c>
      <c r="L106" s="5" t="inlineStr">
        <is>
          <t>DFT / reference data (see paper)</t>
        </is>
      </c>
      <c r="M106" s="6" t="inlineStr">
        <is>
          <t>10.48550/arXiv.2509.07150</t>
        </is>
      </c>
      <c r="N106" s="7" t="inlineStr">
        <is>
          <t>http://arxiv.org/abs/2509.07150</t>
        </is>
      </c>
      <c r="O106" s="5" t="inlineStr"/>
      <c r="P106" s="5" t="inlineStr"/>
      <c r="Q106" s="5" t="inlineStr">
        <is>
          <t>No</t>
        </is>
      </c>
      <c r="R106" s="5" t="inlineStr">
        <is>
          <t>Unknown</t>
        </is>
      </c>
      <c r="S106" s="8" t="inlineStr">
        <is>
          <t>Existing Zotero bibliography; normalized</t>
        </is>
      </c>
      <c r="T106" s="10" t="inlineStr">
        <is>
          <t>B</t>
        </is>
      </c>
      <c r="U106" s="8" t="inlineStr">
        <is>
          <t>2026-09-29</t>
        </is>
      </c>
      <c r="V106" s="5" t="inlineStr">
        <is>
          <t>Yes</t>
        </is>
      </c>
      <c r="W106" s="5" t="inlineStr">
        <is>
          <t>Medium</t>
        </is>
      </c>
      <c r="X106" s="5" t="inlineStr"/>
    </row>
    <row r="107">
      <c r="A107" s="5" t="inlineStr">
        <is>
          <t>E046</t>
        </is>
      </c>
      <c r="B107" s="5" t="inlineStr">
        <is>
          <t>MRVSGJ47</t>
        </is>
      </c>
      <c r="C107" s="5" t="inlineStr">
        <is>
          <t>Universal Machine Learning Interatomic Potentials Enable Accurate Metal-Organic Framework Molecular Modeling</t>
        </is>
      </c>
      <c r="D107" s="5" t="inlineStr">
        <is>
          <t>2025</t>
        </is>
      </c>
      <c r="E107" s="5" t="inlineStr">
        <is>
          <t>Adjacent / supporting resource</t>
        </is>
      </c>
      <c r="F107" s="5" t="inlineStr">
        <is>
          <t>Supporting</t>
        </is>
      </c>
      <c r="G107" s="5" t="inlineStr">
        <is>
          <t>MOFs, zeolites and molecular crystals</t>
        </is>
      </c>
      <c r="H107" s="5" t="inlineStr">
        <is>
          <t>Metals / alloys / elemental solids</t>
        </is>
      </c>
      <c r="I107" s="5" t="inlineStr">
        <is>
          <t>application-specific evaluation</t>
        </is>
      </c>
      <c r="J107" s="5" t="inlineStr"/>
      <c r="K107" s="5" t="inlineStr">
        <is>
          <t>task-specific metrics</t>
        </is>
      </c>
      <c r="L107" s="5" t="inlineStr">
        <is>
          <t>DFT / reference data (see paper)</t>
        </is>
      </c>
      <c r="M107" s="5" t="inlineStr"/>
      <c r="N107" s="7" t="inlineStr">
        <is>
          <t>https://openreview.net/forum?id=4Xh9oL5rH0</t>
        </is>
      </c>
      <c r="O107" s="5" t="inlineStr"/>
      <c r="P107" s="5" t="inlineStr"/>
      <c r="Q107" s="5" t="inlineStr">
        <is>
          <t>Unknown</t>
        </is>
      </c>
      <c r="R107" s="5" t="inlineStr">
        <is>
          <t>Unknown</t>
        </is>
      </c>
      <c r="S107" s="8" t="inlineStr">
        <is>
          <t>Existing Zotero bibliography; normalized</t>
        </is>
      </c>
      <c r="T107" s="10" t="inlineStr">
        <is>
          <t>B</t>
        </is>
      </c>
      <c r="U107" s="8" t="inlineStr">
        <is>
          <t>2026-09-29</t>
        </is>
      </c>
      <c r="V107" s="5" t="inlineStr">
        <is>
          <t>Yes</t>
        </is>
      </c>
      <c r="W107" s="5" t="inlineStr">
        <is>
          <t>Medium</t>
        </is>
      </c>
      <c r="X107" s="5" t="inlineStr"/>
    </row>
    <row r="108">
      <c r="A108" s="5" t="inlineStr">
        <is>
          <t>N030</t>
        </is>
      </c>
      <c r="B108" s="5" t="inlineStr"/>
      <c r="C108" s="5" t="inlineStr">
        <is>
          <t>Model-free estimation of completeness, uncertainties, and outliers in atomistic machine learning using information theory</t>
        </is>
      </c>
      <c r="D108" s="5" t="inlineStr">
        <is>
          <t>2025</t>
        </is>
      </c>
      <c r="E108" s="5" t="inlineStr">
        <is>
          <t>Methodology / benchmark study</t>
        </is>
      </c>
      <c r="F108" s="5" t="inlineStr">
        <is>
          <t>Supporting</t>
        </is>
      </c>
      <c r="G108" s="5" t="inlineStr">
        <is>
          <t>Methodology, reliability and efficiency</t>
        </is>
      </c>
      <c r="H108" s="5" t="inlineStr">
        <is>
          <t>Molecules, silicon, aluminium, transition metals</t>
        </is>
      </c>
      <c r="I108" s="5" t="inlineStr">
        <is>
          <t>Dataset completeness; OOD/outlier detection; uncertainty</t>
        </is>
      </c>
      <c r="J108" s="5" t="inlineStr">
        <is>
          <t>Model-free QUESTS framework</t>
        </is>
      </c>
      <c r="K108" s="5" t="inlineStr">
        <is>
          <t>Information-theoretic completeness/outlier/UQ metrics</t>
        </is>
      </c>
      <c r="L108" s="5" t="inlineStr">
        <is>
          <t>Reference atomistic datasets</t>
        </is>
      </c>
      <c r="M108" s="6" t="inlineStr">
        <is>
          <t>10.1038/s41467-025-59232-0</t>
        </is>
      </c>
      <c r="N108" s="7" t="inlineStr">
        <is>
          <t>https://doi.org/10.1038/s41467-025-59232-0</t>
        </is>
      </c>
      <c r="O108" s="7" t="inlineStr">
        <is>
          <t>https://github.com/dskoda/quests</t>
        </is>
      </c>
      <c r="P108" s="5" t="inlineStr"/>
      <c r="Q108" s="5" t="inlineStr">
        <is>
          <t>Yes</t>
        </is>
      </c>
      <c r="R108" s="5" t="inlineStr">
        <is>
          <t>Yes</t>
        </is>
      </c>
      <c r="S108" s="8" t="inlineStr">
        <is>
          <t>New literature sweep; web-verified</t>
        </is>
      </c>
      <c r="T108" s="9" t="inlineStr">
        <is>
          <t>A</t>
        </is>
      </c>
      <c r="U108" s="8" t="inlineStr">
        <is>
          <t>2026-09-29</t>
        </is>
      </c>
      <c r="V108" s="5" t="inlineStr">
        <is>
          <t>No</t>
        </is>
      </c>
      <c r="W108" s="5" t="inlineStr">
        <is>
          <t>Medium</t>
        </is>
      </c>
      <c r="X108" s="5" t="inlineStr">
        <is>
          <t>QUESTS evaluates dataset coverage without requiring a trained potential.</t>
        </is>
      </c>
    </row>
    <row r="109">
      <c r="A109" s="5" t="inlineStr">
        <is>
          <t>E061</t>
        </is>
      </c>
      <c r="B109" s="5" t="inlineStr">
        <is>
          <t>EGQRW5UH</t>
        </is>
      </c>
      <c r="C109" s="5" t="inlineStr">
        <is>
          <t>Multi-fidelity learning for interatomic potentials: low-level forces and high-level energies are all you need*</t>
        </is>
      </c>
      <c r="D109" s="5" t="inlineStr">
        <is>
          <t>2025</t>
        </is>
      </c>
      <c r="E109" s="5" t="inlineStr">
        <is>
          <t>Adjacent / supporting resource</t>
        </is>
      </c>
      <c r="F109" s="5" t="inlineStr">
        <is>
          <t>Supporting</t>
        </is>
      </c>
      <c r="G109" s="5" t="inlineStr">
        <is>
          <t>Methodology, reliability and efficiency</t>
        </is>
      </c>
      <c r="H109" s="5" t="inlineStr">
        <is>
          <t>Broad / mixed atomistic systems</t>
        </is>
      </c>
      <c r="I109" s="5" t="inlineStr">
        <is>
          <t>energy/force/stress accuracy</t>
        </is>
      </c>
      <c r="J109" s="5" t="inlineStr"/>
      <c r="K109" s="5" t="inlineStr">
        <is>
          <t>energy/force/stress MAE or RMSE</t>
        </is>
      </c>
      <c r="L109" s="5" t="inlineStr">
        <is>
          <t>DFT / reference data (see paper)</t>
        </is>
      </c>
      <c r="M109" s="6" t="inlineStr">
        <is>
          <t>10.1088/2632-2153/ae040b</t>
        </is>
      </c>
      <c r="N109" s="7" t="inlineStr">
        <is>
          <t>https://doi.org/10.1088/2632-2153/ae040b</t>
        </is>
      </c>
      <c r="O109" s="5" t="inlineStr"/>
      <c r="P109" s="5" t="inlineStr"/>
      <c r="Q109" s="5" t="inlineStr">
        <is>
          <t>Yes</t>
        </is>
      </c>
      <c r="R109" s="5" t="inlineStr">
        <is>
          <t>Unknown</t>
        </is>
      </c>
      <c r="S109" s="8" t="inlineStr">
        <is>
          <t>Existing Zotero bibliography; normalized</t>
        </is>
      </c>
      <c r="T109" s="10" t="inlineStr">
        <is>
          <t>B</t>
        </is>
      </c>
      <c r="U109" s="8" t="inlineStr">
        <is>
          <t>2026-09-29</t>
        </is>
      </c>
      <c r="V109" s="5" t="inlineStr">
        <is>
          <t>Yes</t>
        </is>
      </c>
      <c r="W109" s="5" t="inlineStr">
        <is>
          <t>Medium</t>
        </is>
      </c>
      <c r="X109" s="5" t="inlineStr"/>
    </row>
    <row r="110">
      <c r="A110" s="5" t="inlineStr">
        <is>
          <t>N040</t>
        </is>
      </c>
      <c r="B110" s="5" t="inlineStr"/>
      <c r="C110" s="5" t="inlineStr">
        <is>
          <t>Towards Fast, Specialized Machine Learning Force Fields: Distilling Foundation Models via Energy Hessians</t>
        </is>
      </c>
      <c r="D110" s="5" t="inlineStr">
        <is>
          <t>2025</t>
        </is>
      </c>
      <c r="E110" s="5" t="inlineStr">
        <is>
          <t>Methodology / benchmark study</t>
        </is>
      </c>
      <c r="F110" s="5" t="inlineStr">
        <is>
          <t>Supporting</t>
        </is>
      </c>
      <c r="G110" s="5" t="inlineStr">
        <is>
          <t>Methodology, reliability and efficiency</t>
        </is>
      </c>
      <c r="H110" s="5" t="inlineStr">
        <is>
          <t>OC20, MD22 and SPICE domains</t>
        </is>
      </c>
      <c r="I110" s="5" t="inlineStr">
        <is>
          <t>Foundation-model distillation; Hessian matching; MD conservation; speed</t>
        </is>
      </c>
      <c r="J110" s="5" t="inlineStr">
        <is>
          <t>Teacher foundation MLFF + compact students</t>
        </is>
      </c>
      <c r="K110" s="5" t="inlineStr">
        <is>
          <t>Accuracy; up to 20x speed; MD energy conservation</t>
        </is>
      </c>
      <c r="L110" s="5" t="inlineStr">
        <is>
          <t>Foundation teacher / reference datasets</t>
        </is>
      </c>
      <c r="M110" s="5" t="inlineStr"/>
      <c r="N110" s="7" t="inlineStr">
        <is>
          <t>https://arxiv.org/abs/2501.09009</t>
        </is>
      </c>
      <c r="O110" s="7" t="inlineStr">
        <is>
          <t>https://github.com/ASK-Berkeley/MLFF-distill</t>
        </is>
      </c>
      <c r="P110" s="5" t="inlineStr"/>
      <c r="Q110" s="5" t="inlineStr">
        <is>
          <t>No</t>
        </is>
      </c>
      <c r="R110" s="5" t="inlineStr">
        <is>
          <t>Yes</t>
        </is>
      </c>
      <c r="S110" s="8" t="inlineStr">
        <is>
          <t>New literature sweep; web-verified</t>
        </is>
      </c>
      <c r="T110" s="9" t="inlineStr">
        <is>
          <t>A</t>
        </is>
      </c>
      <c r="U110" s="8" t="inlineStr">
        <is>
          <t>2026-09-29</t>
        </is>
      </c>
      <c r="V110" s="5" t="inlineStr">
        <is>
          <t>No</t>
        </is>
      </c>
      <c r="W110" s="5" t="inlineStr">
        <is>
          <t>Medium</t>
        </is>
      </c>
      <c r="X110" s="5" t="inlineStr">
        <is>
          <t>ICLR 2025; useful efficiency/physicality benchmark for model compression.</t>
        </is>
      </c>
    </row>
    <row r="111">
      <c r="A111" s="5" t="inlineStr">
        <is>
          <t>E039</t>
        </is>
      </c>
      <c r="B111" s="5" t="inlineStr">
        <is>
          <t>IYW3T39R</t>
        </is>
      </c>
      <c r="C111" s="5" t="inlineStr">
        <is>
          <t>Understanding and Mitigating Distribution Shifts For Machine Learning Force Fields</t>
        </is>
      </c>
      <c r="D111" s="5" t="inlineStr">
        <is>
          <t>2025</t>
        </is>
      </c>
      <c r="E111" s="5" t="inlineStr">
        <is>
          <t>Adjacent / supporting resource</t>
        </is>
      </c>
      <c r="F111" s="5" t="inlineStr">
        <is>
          <t>Supporting</t>
        </is>
      </c>
      <c r="G111" s="5" t="inlineStr">
        <is>
          <t>Methodology, reliability and efficiency</t>
        </is>
      </c>
      <c r="H111" s="5" t="inlineStr">
        <is>
          <t>Broad / mixed atomistic systems</t>
        </is>
      </c>
      <c r="I111" s="5" t="inlineStr">
        <is>
          <t>energy/force/stress accuracy; uncertainty / OOD</t>
        </is>
      </c>
      <c r="J111" s="5" t="inlineStr"/>
      <c r="K111" s="5" t="inlineStr">
        <is>
          <t>energy/force/stress MAE or RMSE; calibration / error-UQ correlation</t>
        </is>
      </c>
      <c r="L111" s="5" t="inlineStr">
        <is>
          <t>DFT / reference data (see paper)</t>
        </is>
      </c>
      <c r="M111" s="6" t="inlineStr">
        <is>
          <t>10.48550/arXiv.2503.08674</t>
        </is>
      </c>
      <c r="N111" s="7" t="inlineStr">
        <is>
          <t>http://arxiv.org/abs/2503.08674</t>
        </is>
      </c>
      <c r="O111" s="5" t="inlineStr"/>
      <c r="P111" s="5" t="inlineStr"/>
      <c r="Q111" s="5" t="inlineStr">
        <is>
          <t>No</t>
        </is>
      </c>
      <c r="R111" s="5" t="inlineStr">
        <is>
          <t>Unknown</t>
        </is>
      </c>
      <c r="S111" s="8" t="inlineStr">
        <is>
          <t>Existing Zotero bibliography; normalized</t>
        </is>
      </c>
      <c r="T111" s="10" t="inlineStr">
        <is>
          <t>B</t>
        </is>
      </c>
      <c r="U111" s="8" t="inlineStr">
        <is>
          <t>2026-09-29</t>
        </is>
      </c>
      <c r="V111" s="5" t="inlineStr">
        <is>
          <t>Yes</t>
        </is>
      </c>
      <c r="W111" s="5" t="inlineStr">
        <is>
          <t>Medium</t>
        </is>
      </c>
      <c r="X111" s="5" t="inlineStr"/>
    </row>
    <row r="112">
      <c r="A112" s="5" t="inlineStr">
        <is>
          <t>E082</t>
        </is>
      </c>
      <c r="B112" s="5" t="inlineStr">
        <is>
          <t>C9VR8XZ8</t>
        </is>
      </c>
      <c r="C112" s="5" t="inlineStr">
        <is>
          <t>Accelerating point defect photo-emission calculations with machine learning interatomic potentials</t>
        </is>
      </c>
      <c r="D112" s="5" t="inlineStr">
        <is>
          <t>2025</t>
        </is>
      </c>
      <c r="E112" s="5" t="inlineStr">
        <is>
          <t>Adjacent / supporting resource</t>
        </is>
      </c>
      <c r="F112" s="5" t="inlineStr">
        <is>
          <t>Supporting</t>
        </is>
      </c>
      <c r="G112" s="5" t="inlineStr">
        <is>
          <t>Phonons, vibrations and thermal</t>
        </is>
      </c>
      <c r="H112" s="5" t="inlineStr">
        <is>
          <t>Crystalline materials</t>
        </is>
      </c>
      <c r="I112" s="5" t="inlineStr">
        <is>
          <t>application-specific evaluation</t>
        </is>
      </c>
      <c r="J112" s="5" t="inlineStr"/>
      <c r="K112" s="5" t="inlineStr">
        <is>
          <t>task-specific metrics</t>
        </is>
      </c>
      <c r="L112" s="5" t="inlineStr">
        <is>
          <t>DFT / reference data (see paper)</t>
        </is>
      </c>
      <c r="M112" s="6" t="inlineStr">
        <is>
          <t>10.1038/s41524-025-01820-1</t>
        </is>
      </c>
      <c r="N112" s="7" t="inlineStr">
        <is>
          <t>https://www.nature.com/articles/s41524-025-01820-1</t>
        </is>
      </c>
      <c r="O112" s="5" t="inlineStr"/>
      <c r="P112" s="5" t="inlineStr"/>
      <c r="Q112" s="5" t="inlineStr">
        <is>
          <t>Yes</t>
        </is>
      </c>
      <c r="R112" s="5" t="inlineStr">
        <is>
          <t>Unknown</t>
        </is>
      </c>
      <c r="S112" s="8" t="inlineStr">
        <is>
          <t>Existing Zotero bibliography; normalized</t>
        </is>
      </c>
      <c r="T112" s="10" t="inlineStr">
        <is>
          <t>B</t>
        </is>
      </c>
      <c r="U112" s="8" t="inlineStr">
        <is>
          <t>2026-09-29</t>
        </is>
      </c>
      <c r="V112" s="5" t="inlineStr">
        <is>
          <t>Yes</t>
        </is>
      </c>
      <c r="W112" s="5" t="inlineStr">
        <is>
          <t>Medium</t>
        </is>
      </c>
      <c r="X112" s="5" t="inlineStr"/>
    </row>
    <row r="113">
      <c r="A113" s="5" t="inlineStr">
        <is>
          <t>E041</t>
        </is>
      </c>
      <c r="B113" s="5" t="inlineStr">
        <is>
          <t>9CEMXTTM</t>
        </is>
      </c>
      <c r="C113" s="5" t="inlineStr">
        <is>
          <t>Cross Learning between Electronic Structure Theories for Unifying Molecular, Surface, and Inorganic Crystal Foundation Force Fields</t>
        </is>
      </c>
      <c r="D113" s="5" t="inlineStr">
        <is>
          <t>2025</t>
        </is>
      </c>
      <c r="E113" s="5" t="inlineStr">
        <is>
          <t>Adjacent / supporting resource</t>
        </is>
      </c>
      <c r="F113" s="5" t="inlineStr">
        <is>
          <t>Supporting</t>
        </is>
      </c>
      <c r="G113" s="5" t="inlineStr">
        <is>
          <t>Surfaces, interfaces and catalysis</t>
        </is>
      </c>
      <c r="H113" s="5" t="inlineStr">
        <is>
          <t>Molecular / chemical systems</t>
        </is>
      </c>
      <c r="I113" s="5" t="inlineStr">
        <is>
          <t>energy/force/stress accuracy; structure relaxation / PES search; surface / adsorption / catalysis</t>
        </is>
      </c>
      <c r="J113" s="5" t="inlineStr"/>
      <c r="K113" s="5" t="inlineStr">
        <is>
          <t>energy/force/stress MAE or RMSE; structural distance / relaxation success</t>
        </is>
      </c>
      <c r="L113" s="5" t="inlineStr">
        <is>
          <t>DFT / reference data (see paper)</t>
        </is>
      </c>
      <c r="M113" s="6" t="inlineStr">
        <is>
          <t>10.48550/arXiv.2510.25380</t>
        </is>
      </c>
      <c r="N113" s="7" t="inlineStr">
        <is>
          <t>http://arxiv.org/abs/2510.25380</t>
        </is>
      </c>
      <c r="O113" s="5" t="inlineStr"/>
      <c r="P113" s="5" t="inlineStr"/>
      <c r="Q113" s="5" t="inlineStr">
        <is>
          <t>No</t>
        </is>
      </c>
      <c r="R113" s="5" t="inlineStr">
        <is>
          <t>Unknown</t>
        </is>
      </c>
      <c r="S113" s="8" t="inlineStr">
        <is>
          <t>Existing Zotero bibliography; normalized</t>
        </is>
      </c>
      <c r="T113" s="10" t="inlineStr">
        <is>
          <t>B</t>
        </is>
      </c>
      <c r="U113" s="8" t="inlineStr">
        <is>
          <t>2026-09-29</t>
        </is>
      </c>
      <c r="V113" s="5" t="inlineStr">
        <is>
          <t>Yes</t>
        </is>
      </c>
      <c r="W113" s="5" t="inlineStr">
        <is>
          <t>Medium</t>
        </is>
      </c>
      <c r="X113" s="5" t="inlineStr"/>
    </row>
    <row r="114">
      <c r="A114" s="5" t="inlineStr">
        <is>
          <t>N043</t>
        </is>
      </c>
      <c r="B114" s="5" t="inlineStr"/>
      <c r="C114" s="5" t="inlineStr">
        <is>
          <t>Advancing the ColabFit Exchange towards a Web-scale Data Source for Machine Learning Interatomic Potentials</t>
        </is>
      </c>
      <c r="D114" s="5" t="inlineStr">
        <is>
          <t>2024</t>
        </is>
      </c>
      <c r="E114" s="5" t="inlineStr">
        <is>
          <t>Benchmark-supporting data infrastructure</t>
        </is>
      </c>
      <c r="F114" s="5" t="inlineStr">
        <is>
          <t>Supporting</t>
        </is>
      </c>
      <c r="G114" s="5" t="inlineStr">
        <is>
          <t>Foundation datasets and model ecosystems</t>
        </is>
      </c>
      <c r="H114" s="5" t="inlineStr">
        <is>
          <t>Broad atomistic datasets</t>
        </is>
      </c>
      <c r="I114" s="5" t="inlineStr">
        <is>
          <t>Dataset discovery; standardization; exchange for MLIP training and evaluation</t>
        </is>
      </c>
      <c r="J114" s="5" t="inlineStr">
        <is>
          <t>Model-agnostic</t>
        </is>
      </c>
      <c r="K114" s="5" t="inlineStr">
        <is>
          <t>Dataset coverage and metadata quality</t>
        </is>
      </c>
      <c r="L114" s="5" t="inlineStr">
        <is>
          <t>First-principles atomistic datasets</t>
        </is>
      </c>
      <c r="M114" s="5" t="inlineStr"/>
      <c r="N114" s="7" t="inlineStr">
        <is>
          <t>https://openreview.net/forum?id=b8qZpGJIkw</t>
        </is>
      </c>
      <c r="O114" s="5" t="inlineStr"/>
      <c r="P114" s="7" t="inlineStr">
        <is>
          <t>https://colabfit.org/</t>
        </is>
      </c>
      <c r="Q114" s="5" t="inlineStr">
        <is>
          <t>No</t>
        </is>
      </c>
      <c r="R114" s="5" t="inlineStr">
        <is>
          <t>Yes</t>
        </is>
      </c>
      <c r="S114" s="8" t="inlineStr">
        <is>
          <t>New literature sweep; web-verified</t>
        </is>
      </c>
      <c r="T114" s="9" t="inlineStr">
        <is>
          <t>A</t>
        </is>
      </c>
      <c r="U114" s="8" t="inlineStr">
        <is>
          <t>2026-09-29</t>
        </is>
      </c>
      <c r="V114" s="5" t="inlineStr">
        <is>
          <t>No</t>
        </is>
      </c>
      <c r="W114" s="5" t="inlineStr">
        <is>
          <t>Medium</t>
        </is>
      </c>
      <c r="X114" s="5" t="inlineStr">
        <is>
          <t>Supporting infrastructure rather than a direct leaderboard; useful for benchmark dataset discovery and provenance.</t>
        </is>
      </c>
    </row>
    <row r="115">
      <c r="A115" s="5" t="inlineStr">
        <is>
          <t>N025</t>
        </is>
      </c>
      <c r="B115" s="5" t="inlineStr"/>
      <c r="C115" s="5" t="inlineStr">
        <is>
          <t>Expanding the SPICE Dataset with More Molecules and More Conformations</t>
        </is>
      </c>
      <c r="D115" s="5" t="inlineStr">
        <is>
          <t>2024</t>
        </is>
      </c>
      <c r="E115" s="5" t="inlineStr">
        <is>
          <t>Benchmark-supporting dataset</t>
        </is>
      </c>
      <c r="F115" s="5" t="inlineStr">
        <is>
          <t>Supporting</t>
        </is>
      </c>
      <c r="G115" s="5" t="inlineStr">
        <is>
          <t>Foundation datasets and model ecosystems</t>
        </is>
      </c>
      <c r="H115" s="5" t="inlineStr">
        <is>
          <t>Molecules and noncovalent complexes</t>
        </is>
      </c>
      <c r="I115" s="5" t="inlineStr">
        <is>
          <t>Expanded molecular PES coverage</t>
        </is>
      </c>
      <c r="J115" s="5" t="inlineStr">
        <is>
          <t>Nutmeg / molecular ML potentials</t>
        </is>
      </c>
      <c r="K115" s="5" t="inlineStr">
        <is>
          <t>Energy/force benchmark errors</t>
        </is>
      </c>
      <c r="L115" s="5" t="inlineStr">
        <is>
          <t>Quantum chemistry</t>
        </is>
      </c>
      <c r="M115" s="6" t="inlineStr">
        <is>
          <t>10.1021/acs.jctc.4c00794</t>
        </is>
      </c>
      <c r="N115" s="7" t="inlineStr">
        <is>
          <t>https://doi.org/10.1021/acs.jctc.4c00794</t>
        </is>
      </c>
      <c r="O115" s="7" t="inlineStr">
        <is>
          <t>https://github.com/openmm/spice-dataset</t>
        </is>
      </c>
      <c r="P115" s="7" t="inlineStr">
        <is>
          <t>https://doi.org/10.5281/zenodo.10975225</t>
        </is>
      </c>
      <c r="Q115" s="5" t="inlineStr">
        <is>
          <t>Yes</t>
        </is>
      </c>
      <c r="R115" s="5" t="inlineStr">
        <is>
          <t>Yes</t>
        </is>
      </c>
      <c r="S115" s="8" t="inlineStr">
        <is>
          <t>New literature sweep; web-verified</t>
        </is>
      </c>
      <c r="T115" s="9" t="inlineStr">
        <is>
          <t>A</t>
        </is>
      </c>
      <c r="U115" s="8" t="inlineStr">
        <is>
          <t>2026-09-29</t>
        </is>
      </c>
      <c r="V115" s="5" t="inlineStr">
        <is>
          <t>No</t>
        </is>
      </c>
      <c r="W115" s="5" t="inlineStr">
        <is>
          <t>Medium</t>
        </is>
      </c>
      <c r="X115" s="5" t="inlineStr">
        <is>
          <t>SPICE 2 / Nutmeg expansion increases chemical and conformational diversity.</t>
        </is>
      </c>
    </row>
    <row r="116">
      <c r="A116" s="5" t="inlineStr">
        <is>
          <t>N022</t>
        </is>
      </c>
      <c r="B116" s="5" t="inlineStr"/>
      <c r="C116" s="5" t="inlineStr">
        <is>
          <t>Improving machine-learning models in materials science through large datasets</t>
        </is>
      </c>
      <c r="D116" s="5" t="inlineStr">
        <is>
          <t>2024</t>
        </is>
      </c>
      <c r="E116" s="5" t="inlineStr">
        <is>
          <t>Benchmark-supporting dataset</t>
        </is>
      </c>
      <c r="F116" s="5" t="inlineStr">
        <is>
          <t>Supporting</t>
        </is>
      </c>
      <c r="G116" s="5" t="inlineStr">
        <is>
          <t>Foundation datasets and model ecosystems</t>
        </is>
      </c>
      <c r="H116" s="5" t="inlineStr">
        <is>
          <t>3D, 2D and 1D inorganic materials</t>
        </is>
      </c>
      <c r="I116" s="5" t="inlineStr">
        <is>
          <t>Large-scale DFT training dataset; broad materials evaluation</t>
        </is>
      </c>
      <c r="J116" s="5" t="inlineStr">
        <is>
          <t>Dataset-trained ML models</t>
        </is>
      </c>
      <c r="K116" s="5" t="inlineStr">
        <is>
          <t>Energy/force/property performance</t>
        </is>
      </c>
      <c r="L116" s="5" t="inlineStr">
        <is>
          <t>DFT</t>
        </is>
      </c>
      <c r="M116" s="6" t="inlineStr">
        <is>
          <t>10.1016/j.mtphys.2024.101560</t>
        </is>
      </c>
      <c r="N116" s="7" t="inlineStr">
        <is>
          <t>https://doi.org/10.1016/j.mtphys.2024.101560</t>
        </is>
      </c>
      <c r="O116" s="5" t="inlineStr"/>
      <c r="P116" s="7" t="inlineStr">
        <is>
          <t>https://alexandria.icams.rub.de/</t>
        </is>
      </c>
      <c r="Q116" s="5" t="inlineStr">
        <is>
          <t>Yes</t>
        </is>
      </c>
      <c r="R116" s="5" t="inlineStr">
        <is>
          <t>Yes</t>
        </is>
      </c>
      <c r="S116" s="8" t="inlineStr">
        <is>
          <t>New literature sweep; web-verified</t>
        </is>
      </c>
      <c r="T116" s="9" t="inlineStr">
        <is>
          <t>A</t>
        </is>
      </c>
      <c r="U116" s="8" t="inlineStr">
        <is>
          <t>2026-09-29</t>
        </is>
      </c>
      <c r="V116" s="5" t="inlineStr">
        <is>
          <t>No</t>
        </is>
      </c>
      <c r="W116" s="5" t="inlineStr">
        <is>
          <t>Medium</t>
        </is>
      </c>
      <c r="X116" s="5" t="inlineStr">
        <is>
          <t>Alexandria family provides multi-dimensional large-scale DFT data.</t>
        </is>
      </c>
    </row>
    <row r="117">
      <c r="A117" s="5" t="inlineStr">
        <is>
          <t>E058</t>
        </is>
      </c>
      <c r="B117" s="5" t="inlineStr">
        <is>
          <t>WEJZQNIQ</t>
        </is>
      </c>
      <c r="C117" s="5" t="inlineStr">
        <is>
          <t>A Hitchhiker's Guide to Geometric GNNs for 3D Atomic Systems</t>
        </is>
      </c>
      <c r="D117" s="5" t="inlineStr">
        <is>
          <t>2024</t>
        </is>
      </c>
      <c r="E117" s="5" t="inlineStr">
        <is>
          <t>Review / perspective</t>
        </is>
      </c>
      <c r="F117" s="5" t="inlineStr">
        <is>
          <t>Supporting</t>
        </is>
      </c>
      <c r="G117" s="5" t="inlineStr">
        <is>
          <t>General and foundation MLIP evaluation</t>
        </is>
      </c>
      <c r="H117" s="5" t="inlineStr">
        <is>
          <t>Broad / mixed atomistic systems</t>
        </is>
      </c>
      <c r="I117" s="5" t="inlineStr">
        <is>
          <t>application-specific evaluation</t>
        </is>
      </c>
      <c r="J117" s="5" t="inlineStr"/>
      <c r="K117" s="5" t="inlineStr">
        <is>
          <t>task-specific metrics</t>
        </is>
      </c>
      <c r="L117" s="5" t="inlineStr">
        <is>
          <t>DFT / reference data (see paper)</t>
        </is>
      </c>
      <c r="M117" s="6" t="inlineStr">
        <is>
          <t>10.48550/arXiv.2312.07511</t>
        </is>
      </c>
      <c r="N117" s="7" t="inlineStr">
        <is>
          <t>http://arxiv.org/abs/2312.07511</t>
        </is>
      </c>
      <c r="O117" s="5" t="inlineStr"/>
      <c r="P117" s="5" t="inlineStr"/>
      <c r="Q117" s="5" t="inlineStr">
        <is>
          <t>No</t>
        </is>
      </c>
      <c r="R117" s="5" t="inlineStr">
        <is>
          <t>Unknown</t>
        </is>
      </c>
      <c r="S117" s="8" t="inlineStr">
        <is>
          <t>Existing Zotero bibliography; normalized</t>
        </is>
      </c>
      <c r="T117" s="10" t="inlineStr">
        <is>
          <t>B</t>
        </is>
      </c>
      <c r="U117" s="8" t="inlineStr">
        <is>
          <t>2026-09-29</t>
        </is>
      </c>
      <c r="V117" s="5" t="inlineStr">
        <is>
          <t>Yes</t>
        </is>
      </c>
      <c r="W117" s="5" t="inlineStr">
        <is>
          <t>Medium</t>
        </is>
      </c>
      <c r="X117" s="5" t="inlineStr"/>
    </row>
    <row r="118">
      <c r="A118" s="5" t="inlineStr">
        <is>
          <t>N035</t>
        </is>
      </c>
      <c r="B118" s="5" t="inlineStr"/>
      <c r="C118" s="5" t="inlineStr">
        <is>
          <t>MatterSim: A Deep Learning Atomistic Model Across Elements, Temperatures and Pressures</t>
        </is>
      </c>
      <c r="D118" s="5" t="inlineStr">
        <is>
          <t>2024</t>
        </is>
      </c>
      <c r="E118" s="5" t="inlineStr">
        <is>
          <t>Foundation-model validation study</t>
        </is>
      </c>
      <c r="F118" s="5" t="inlineStr">
        <is>
          <t>Supporting</t>
        </is>
      </c>
      <c r="G118" s="5" t="inlineStr">
        <is>
          <t>General and foundation MLIP evaluation</t>
        </is>
      </c>
      <c r="H118" s="5" t="inlineStr">
        <is>
          <t>Broad inorganic materials; 0-5000 K; up to 1000 GPa</t>
        </is>
      </c>
      <c r="I118" s="5" t="inlineStr">
        <is>
          <t>Structures; dynamics; phonons; mechanics; thermodynamics; phase behavior</t>
        </is>
      </c>
      <c r="J118" s="5" t="inlineStr">
        <is>
          <t>MatterSim</t>
        </is>
      </c>
      <c r="K118" s="5" t="inlineStr">
        <is>
          <t>Energy/force/property errors; Gibbs free energy; phase behavior</t>
        </is>
      </c>
      <c r="L118" s="5" t="inlineStr">
        <is>
          <t>DFT / experiment</t>
        </is>
      </c>
      <c r="M118" s="6" t="inlineStr">
        <is>
          <t>10.48550/arXiv.2405.04967</t>
        </is>
      </c>
      <c r="N118" s="7" t="inlineStr">
        <is>
          <t>https://arxiv.org/abs/2405.04967</t>
        </is>
      </c>
      <c r="O118" s="7" t="inlineStr">
        <is>
          <t>https://github.com/microsoft/mattersim</t>
        </is>
      </c>
      <c r="P118" s="5" t="inlineStr"/>
      <c r="Q118" s="5" t="inlineStr">
        <is>
          <t>No</t>
        </is>
      </c>
      <c r="R118" s="5" t="inlineStr">
        <is>
          <t>Yes</t>
        </is>
      </c>
      <c r="S118" s="8" t="inlineStr">
        <is>
          <t>New literature sweep; web-verified</t>
        </is>
      </c>
      <c r="T118" s="9" t="inlineStr">
        <is>
          <t>A</t>
        </is>
      </c>
      <c r="U118" s="8" t="inlineStr">
        <is>
          <t>2026-09-29</t>
        </is>
      </c>
      <c r="V118" s="5" t="inlineStr">
        <is>
          <t>No</t>
        </is>
      </c>
      <c r="W118" s="5" t="inlineStr">
        <is>
          <t>Medium</t>
        </is>
      </c>
      <c r="X118" s="5" t="inlineStr">
        <is>
          <t>Broad temperature/pressure validation makes it useful as a reference stress-test paper.</t>
        </is>
      </c>
    </row>
    <row r="119">
      <c r="A119" s="5" t="inlineStr">
        <is>
          <t>N011</t>
        </is>
      </c>
      <c r="B119" s="5" t="inlineStr"/>
      <c r="C119" s="5" t="inlineStr">
        <is>
          <t>Learning from models: high-dimensional analyses of machine-learned interatomic potentials</t>
        </is>
      </c>
      <c r="D119" s="5" t="inlineStr">
        <is>
          <t>2024</t>
        </is>
      </c>
      <c r="E119" s="5" t="inlineStr">
        <is>
          <t>Methodology / benchmark study</t>
        </is>
      </c>
      <c r="F119" s="5" t="inlineStr">
        <is>
          <t>Supporting</t>
        </is>
      </c>
      <c r="G119" s="5" t="inlineStr">
        <is>
          <t>Methodology, reliability and efficiency</t>
        </is>
      </c>
      <c r="H119" s="5" t="inlineStr">
        <is>
          <t>Multiple material systems</t>
        </is>
      </c>
      <c r="I119" s="5" t="inlineStr">
        <is>
          <t>High-dimensional property validation; Pareto analysis</t>
        </is>
      </c>
      <c r="J119" s="5" t="inlineStr">
        <is>
          <t>Multiple MLIPs</t>
        </is>
      </c>
      <c r="K119" s="5" t="inlineStr">
        <is>
          <t>Property errors; accuracy-efficiency Pareto behavior</t>
        </is>
      </c>
      <c r="L119" s="5" t="inlineStr">
        <is>
          <t>DFT / reference properties</t>
        </is>
      </c>
      <c r="M119" s="6" t="inlineStr">
        <is>
          <t>10.1038/s41524-024-01333-3</t>
        </is>
      </c>
      <c r="N119" s="7" t="inlineStr">
        <is>
          <t>https://doi.org/10.1038/s41524-024-01333-3</t>
        </is>
      </c>
      <c r="O119" s="7" t="inlineStr">
        <is>
          <t>https://github.com/mogroupumd/Learning_from_models</t>
        </is>
      </c>
      <c r="P119" s="5" t="inlineStr"/>
      <c r="Q119" s="5" t="inlineStr">
        <is>
          <t>Yes</t>
        </is>
      </c>
      <c r="R119" s="5" t="inlineStr">
        <is>
          <t>Yes</t>
        </is>
      </c>
      <c r="S119" s="8" t="inlineStr">
        <is>
          <t>New literature sweep; web-verified</t>
        </is>
      </c>
      <c r="T119" s="9" t="inlineStr">
        <is>
          <t>A</t>
        </is>
      </c>
      <c r="U119" s="8" t="inlineStr">
        <is>
          <t>2026-09-29</t>
        </is>
      </c>
      <c r="V119" s="5" t="inlineStr">
        <is>
          <t>No</t>
        </is>
      </c>
      <c r="W119" s="5" t="inlineStr">
        <is>
          <t>Medium</t>
        </is>
      </c>
      <c r="X119" s="5" t="inlineStr">
        <is>
          <t>Useful property-centric benchmark methodology beyond E/F errors.</t>
        </is>
      </c>
    </row>
    <row r="120">
      <c r="A120" s="5" t="inlineStr">
        <is>
          <t>N016</t>
        </is>
      </c>
      <c r="B120" s="5" t="inlineStr"/>
      <c r="C120" s="5" t="inlineStr">
        <is>
          <t>Validation workflow for machine learning interatomic potentials for complex ceramics</t>
        </is>
      </c>
      <c r="D120" s="5" t="inlineStr">
        <is>
          <t>2024</t>
        </is>
      </c>
      <c r="E120" s="5" t="inlineStr">
        <is>
          <t>Methodology / benchmark study</t>
        </is>
      </c>
      <c r="F120" s="5" t="inlineStr">
        <is>
          <t>Supporting</t>
        </is>
      </c>
      <c r="G120" s="5" t="inlineStr">
        <is>
          <t>Methodology, reliability and efficiency</t>
        </is>
      </c>
      <c r="H120" s="5" t="inlineStr">
        <is>
          <t>Boron carbide / complex ceramics</t>
        </is>
      </c>
      <c r="I120" s="5" t="inlineStr">
        <is>
          <t>Preliminary; static-property; dynamic-property validation</t>
        </is>
      </c>
      <c r="J120" s="5" t="inlineStr">
        <is>
          <t>System-specific MLIP</t>
        </is>
      </c>
      <c r="K120" s="5" t="inlineStr">
        <is>
          <t>Accuracy; computational efficiency; static/dynamic property errors</t>
        </is>
      </c>
      <c r="L120" s="5" t="inlineStr">
        <is>
          <t>DFT / empirical potential</t>
        </is>
      </c>
      <c r="M120" s="6" t="inlineStr">
        <is>
          <t>10.1016/j.commatsci.2024.112983</t>
        </is>
      </c>
      <c r="N120" s="7" t="inlineStr">
        <is>
          <t>https://doi.org/10.1016/j.commatsci.2024.112983</t>
        </is>
      </c>
      <c r="O120" s="5" t="inlineStr"/>
      <c r="P120" s="5" t="inlineStr"/>
      <c r="Q120" s="5" t="inlineStr">
        <is>
          <t>Yes</t>
        </is>
      </c>
      <c r="R120" s="5" t="inlineStr">
        <is>
          <t>Unknown</t>
        </is>
      </c>
      <c r="S120" s="8" t="inlineStr">
        <is>
          <t>New literature sweep; web-verified</t>
        </is>
      </c>
      <c r="T120" s="9" t="inlineStr">
        <is>
          <t>A</t>
        </is>
      </c>
      <c r="U120" s="8" t="inlineStr">
        <is>
          <t>2026-09-29</t>
        </is>
      </c>
      <c r="V120" s="5" t="inlineStr">
        <is>
          <t>No</t>
        </is>
      </c>
      <c r="W120" s="5" t="inlineStr">
        <is>
          <t>Medium</t>
        </is>
      </c>
      <c r="X120" s="5" t="inlineStr">
        <is>
          <t>Reusable three-stage validation workflow demonstrated on B4C.</t>
        </is>
      </c>
    </row>
    <row r="121">
      <c r="A121" s="5" t="inlineStr">
        <is>
          <t>N033</t>
        </is>
      </c>
      <c r="B121" s="5" t="inlineStr"/>
      <c r="C121" s="5" t="inlineStr">
        <is>
          <t>CHGNet as a pretrained universal neural network potential for charge-informed atomistic modelling</t>
        </is>
      </c>
      <c r="D121" s="5" t="inlineStr">
        <is>
          <t>2023</t>
        </is>
      </c>
      <c r="E121" s="5" t="inlineStr">
        <is>
          <t>Benchmark-supporting model/dataset</t>
        </is>
      </c>
      <c r="F121" s="5" t="inlineStr">
        <is>
          <t>Supporting</t>
        </is>
      </c>
      <c r="G121" s="5" t="inlineStr">
        <is>
          <t>Foundation datasets and model ecosystems</t>
        </is>
      </c>
      <c r="H121" s="5" t="inlineStr">
        <is>
          <t>Materials Project crystals / MPtrj</t>
        </is>
      </c>
      <c r="I121" s="5" t="inlineStr">
        <is>
          <t>Universal potential training and broad materials-property validation</t>
        </is>
      </c>
      <c r="J121" s="5" t="inlineStr">
        <is>
          <t>CHGNet</t>
        </is>
      </c>
      <c r="K121" s="5" t="inlineStr">
        <is>
          <t>Energy/force/stress; structure; MD/property tests</t>
        </is>
      </c>
      <c r="L121" s="5" t="inlineStr">
        <is>
          <t>Materials Project DFT</t>
        </is>
      </c>
      <c r="M121" s="6" t="inlineStr">
        <is>
          <t>10.1038/s42256-023-00716-3</t>
        </is>
      </c>
      <c r="N121" s="7" t="inlineStr">
        <is>
          <t>https://doi.org/10.1038/s42256-023-00716-3</t>
        </is>
      </c>
      <c r="O121" s="5" t="inlineStr"/>
      <c r="P121" s="5" t="inlineStr"/>
      <c r="Q121" s="5" t="inlineStr">
        <is>
          <t>Yes</t>
        </is>
      </c>
      <c r="R121" s="5" t="inlineStr">
        <is>
          <t>Unknown</t>
        </is>
      </c>
      <c r="S121" s="8" t="inlineStr">
        <is>
          <t>New literature sweep; web-verified</t>
        </is>
      </c>
      <c r="T121" s="9" t="inlineStr">
        <is>
          <t>A</t>
        </is>
      </c>
      <c r="U121" s="8" t="inlineStr">
        <is>
          <t>2026-09-29</t>
        </is>
      </c>
      <c r="V121" s="5" t="inlineStr">
        <is>
          <t>No</t>
        </is>
      </c>
      <c r="W121" s="5" t="inlineStr">
        <is>
          <t>Medium</t>
        </is>
      </c>
      <c r="X121" s="5" t="inlineStr">
        <is>
          <t>MPtrj trajectory data became a major training/evaluation source for later foundation potentials.</t>
        </is>
      </c>
    </row>
    <row r="122">
      <c r="A122" s="5" t="inlineStr">
        <is>
          <t>N020</t>
        </is>
      </c>
      <c r="B122" s="5" t="inlineStr"/>
      <c r="C122" s="5" t="inlineStr">
        <is>
          <t>Open Catalyst 2022 (OC22) Dataset and Challenges for Oxide Electrocatalysts</t>
        </is>
      </c>
      <c r="D122" s="5" t="inlineStr">
        <is>
          <t>2023</t>
        </is>
      </c>
      <c r="E122" s="5" t="inlineStr">
        <is>
          <t>Benchmark-supporting dataset</t>
        </is>
      </c>
      <c r="F122" s="5" t="inlineStr">
        <is>
          <t>Supporting</t>
        </is>
      </c>
      <c r="G122" s="5" t="inlineStr">
        <is>
          <t>Foundation datasets and model ecosystems</t>
        </is>
      </c>
      <c r="H122" s="5" t="inlineStr">
        <is>
          <t>Oxide surfaces and adsorbates</t>
        </is>
      </c>
      <c r="I122" s="5" t="inlineStr">
        <is>
          <t>Structure-to-energy/forces; relaxation for oxide electrocatalysis</t>
        </is>
      </c>
      <c r="J122" s="5" t="inlineStr">
        <is>
          <t>OC22 baselines</t>
        </is>
      </c>
      <c r="K122" s="5" t="inlineStr">
        <is>
          <t>Energy/force errors; relaxation metrics</t>
        </is>
      </c>
      <c r="L122" s="5" t="inlineStr">
        <is>
          <t>DFT</t>
        </is>
      </c>
      <c r="M122" s="6" t="inlineStr">
        <is>
          <t>10.1021/acscatal.2c05426</t>
        </is>
      </c>
      <c r="N122" s="7" t="inlineStr">
        <is>
          <t>https://doi.org/10.1021/acscatal.2c05426</t>
        </is>
      </c>
      <c r="O122" s="7" t="inlineStr">
        <is>
          <t>https://github.com/FAIR-Chem/fairchem</t>
        </is>
      </c>
      <c r="P122" s="5" t="inlineStr"/>
      <c r="Q122" s="5" t="inlineStr">
        <is>
          <t>Yes</t>
        </is>
      </c>
      <c r="R122" s="5" t="inlineStr">
        <is>
          <t>Yes</t>
        </is>
      </c>
      <c r="S122" s="8" t="inlineStr">
        <is>
          <t>New literature sweep; web-verified</t>
        </is>
      </c>
      <c r="T122" s="9" t="inlineStr">
        <is>
          <t>A</t>
        </is>
      </c>
      <c r="U122" s="8" t="inlineStr">
        <is>
          <t>2026-09-29</t>
        </is>
      </c>
      <c r="V122" s="5" t="inlineStr">
        <is>
          <t>No</t>
        </is>
      </c>
      <c r="W122" s="5" t="inlineStr">
        <is>
          <t>Medium</t>
        </is>
      </c>
      <c r="X122" s="5" t="inlineStr">
        <is>
          <t>Large oxide electrocatalysis dataset and challenge.</t>
        </is>
      </c>
    </row>
    <row r="123">
      <c r="A123" s="5" t="inlineStr">
        <is>
          <t>N024</t>
        </is>
      </c>
      <c r="B123" s="5" t="inlineStr"/>
      <c r="C123" s="5" t="inlineStr">
        <is>
          <t>SPICE, A Dataset of Drug-like Molecules and Peptides for Training Machine Learning Potentials</t>
        </is>
      </c>
      <c r="D123" s="5" t="inlineStr">
        <is>
          <t>2023</t>
        </is>
      </c>
      <c r="E123" s="5" t="inlineStr">
        <is>
          <t>Benchmark-supporting dataset</t>
        </is>
      </c>
      <c r="F123" s="5" t="inlineStr">
        <is>
          <t>Supporting</t>
        </is>
      </c>
      <c r="G123" s="5" t="inlineStr">
        <is>
          <t>Foundation datasets and model ecosystems</t>
        </is>
      </c>
      <c r="H123" s="5" t="inlineStr">
        <is>
          <t>Drug-like molecules, peptides, dimers</t>
        </is>
      </c>
      <c r="I123" s="5" t="inlineStr">
        <is>
          <t>Molecular energy/force training and benchmark data</t>
        </is>
      </c>
      <c r="J123" s="5" t="inlineStr">
        <is>
          <t>Molecular ML potentials</t>
        </is>
      </c>
      <c r="K123" s="5" t="inlineStr">
        <is>
          <t>Energy/force errors across chemical space</t>
        </is>
      </c>
      <c r="L123" s="5" t="inlineStr">
        <is>
          <t>Quantum chemistry</t>
        </is>
      </c>
      <c r="M123" s="6" t="inlineStr">
        <is>
          <t>10.1038/s41597-022-01882-6</t>
        </is>
      </c>
      <c r="N123" s="7" t="inlineStr">
        <is>
          <t>https://doi.org/10.1038/s41597-022-01882-6</t>
        </is>
      </c>
      <c r="O123" s="7" t="inlineStr">
        <is>
          <t>https://github.com/openmm/spice-dataset</t>
        </is>
      </c>
      <c r="P123" s="5" t="inlineStr"/>
      <c r="Q123" s="5" t="inlineStr">
        <is>
          <t>Yes</t>
        </is>
      </c>
      <c r="R123" s="5" t="inlineStr">
        <is>
          <t>Yes</t>
        </is>
      </c>
      <c r="S123" s="8" t="inlineStr">
        <is>
          <t>New literature sweep; web-verified</t>
        </is>
      </c>
      <c r="T123" s="9" t="inlineStr">
        <is>
          <t>A</t>
        </is>
      </c>
      <c r="U123" s="8" t="inlineStr">
        <is>
          <t>2026-09-29</t>
        </is>
      </c>
      <c r="V123" s="5" t="inlineStr">
        <is>
          <t>No</t>
        </is>
      </c>
      <c r="W123" s="5" t="inlineStr">
        <is>
          <t>Medium</t>
        </is>
      </c>
      <c r="X123" s="5" t="inlineStr">
        <is>
          <t>More than 1.1 million conformations; broad molecular chemistry coverage.</t>
        </is>
      </c>
    </row>
    <row r="124">
      <c r="A124" s="5" t="inlineStr">
        <is>
          <t>N042</t>
        </is>
      </c>
      <c r="B124" s="5" t="inlineStr"/>
      <c r="C124" s="5" t="inlineStr">
        <is>
          <t>How to validate machine-learned interatomic potentials</t>
        </is>
      </c>
      <c r="D124" s="5" t="inlineStr">
        <is>
          <t>2023</t>
        </is>
      </c>
      <c r="E124" s="5" t="inlineStr">
        <is>
          <t>Methodology / benchmark study</t>
        </is>
      </c>
      <c r="F124" s="5" t="inlineStr">
        <is>
          <t>Supporting</t>
        </is>
      </c>
      <c r="G124" s="5" t="inlineStr">
        <is>
          <t>Methodology, reliability and efficiency</t>
        </is>
      </c>
      <c r="H124" s="5" t="inlineStr">
        <is>
          <t>Atomistic materials modeling</t>
        </is>
      </c>
      <c r="I124" s="5" t="inlineStr">
        <is>
          <t>Numerical error metrics; physically guided validation; off-the-shelf model validation</t>
        </is>
      </c>
      <c r="J124" s="5" t="inlineStr">
        <is>
          <t>General MLIP methodology</t>
        </is>
      </c>
      <c r="K124" s="5" t="inlineStr">
        <is>
          <t>Numerical test errors plus physically motivated property validation</t>
        </is>
      </c>
      <c r="L124" s="5" t="inlineStr">
        <is>
          <t>Electronic-structure and physical-property references</t>
        </is>
      </c>
      <c r="M124" s="6" t="inlineStr">
        <is>
          <t>10.1063/5.0139611</t>
        </is>
      </c>
      <c r="N124" s="7" t="inlineStr">
        <is>
          <t>https://doi.org/10.1063/5.0139611</t>
        </is>
      </c>
      <c r="O124" s="5" t="inlineStr"/>
      <c r="P124" s="5" t="inlineStr"/>
      <c r="Q124" s="5" t="inlineStr">
        <is>
          <t>Yes</t>
        </is>
      </c>
      <c r="R124" s="5" t="inlineStr">
        <is>
          <t>Unknown</t>
        </is>
      </c>
      <c r="S124" s="8" t="inlineStr">
        <is>
          <t>New literature sweep; web-verified</t>
        </is>
      </c>
      <c r="T124" s="9" t="inlineStr">
        <is>
          <t>A</t>
        </is>
      </c>
      <c r="U124" s="8" t="inlineStr">
        <is>
          <t>2026-09-29</t>
        </is>
      </c>
      <c r="V124" s="5" t="inlineStr">
        <is>
          <t>No</t>
        </is>
      </c>
      <c r="W124" s="5" t="inlineStr">
        <is>
          <t>Medium</t>
        </is>
      </c>
      <c r="X124" s="5" t="inlineStr">
        <is>
          <t>Foundational best-practice paper for physically meaningful MLIP validation.</t>
        </is>
      </c>
    </row>
    <row r="125">
      <c r="A125" s="5" t="inlineStr">
        <is>
          <t>E028</t>
        </is>
      </c>
      <c r="B125" s="5" t="inlineStr">
        <is>
          <t>SVI4UTZ7</t>
        </is>
      </c>
      <c r="C125" s="5" t="inlineStr">
        <is>
          <t>Accurate global machine learning force fields for molecules with hundreds of atoms</t>
        </is>
      </c>
      <c r="D125" s="5" t="inlineStr">
        <is>
          <t>2023</t>
        </is>
      </c>
      <c r="E125" s="5" t="inlineStr">
        <is>
          <t>Adjacent / supporting resource</t>
        </is>
      </c>
      <c r="F125" s="5" t="inlineStr">
        <is>
          <t>Supporting</t>
        </is>
      </c>
      <c r="G125" s="5" t="inlineStr">
        <is>
          <t>Molecules, reactions and chemical kinetics</t>
        </is>
      </c>
      <c r="H125" s="5" t="inlineStr">
        <is>
          <t>Molecular / chemical systems</t>
        </is>
      </c>
      <c r="I125" s="5" t="inlineStr">
        <is>
          <t>energy/force/stress accuracy</t>
        </is>
      </c>
      <c r="J125" s="5" t="inlineStr"/>
      <c r="K125" s="5" t="inlineStr">
        <is>
          <t>energy/force/stress MAE or RMSE</t>
        </is>
      </c>
      <c r="L125" s="5" t="inlineStr">
        <is>
          <t>DFT / reference data (see paper)</t>
        </is>
      </c>
      <c r="M125" s="6" t="inlineStr">
        <is>
          <t>10.1126/sciadv.adf0873</t>
        </is>
      </c>
      <c r="N125" s="7" t="inlineStr">
        <is>
          <t>https://www.science.org/doi/10.1126/sciadv.adf0873</t>
        </is>
      </c>
      <c r="O125" s="5" t="inlineStr"/>
      <c r="P125" s="5" t="inlineStr"/>
      <c r="Q125" s="5" t="inlineStr">
        <is>
          <t>Yes</t>
        </is>
      </c>
      <c r="R125" s="5" t="inlineStr">
        <is>
          <t>Unknown</t>
        </is>
      </c>
      <c r="S125" s="8" t="inlineStr">
        <is>
          <t>Existing Zotero bibliography; normalized</t>
        </is>
      </c>
      <c r="T125" s="10" t="inlineStr">
        <is>
          <t>B</t>
        </is>
      </c>
      <c r="U125" s="8" t="inlineStr">
        <is>
          <t>2026-09-29</t>
        </is>
      </c>
      <c r="V125" s="5" t="inlineStr">
        <is>
          <t>Yes</t>
        </is>
      </c>
      <c r="W125" s="5" t="inlineStr">
        <is>
          <t>Medium</t>
        </is>
      </c>
      <c r="X125" s="5" t="inlineStr"/>
    </row>
    <row r="126">
      <c r="A126" s="5" t="inlineStr">
        <is>
          <t>N021</t>
        </is>
      </c>
      <c r="B126" s="5" t="inlineStr"/>
      <c r="C126" s="5" t="inlineStr">
        <is>
          <t>Open Catalyst 2020 (OC20) Dataset and Community Challenges</t>
        </is>
      </c>
      <c r="D126" s="5" t="inlineStr">
        <is>
          <t>2021</t>
        </is>
      </c>
      <c r="E126" s="5" t="inlineStr">
        <is>
          <t>Benchmark-supporting dataset</t>
        </is>
      </c>
      <c r="F126" s="5" t="inlineStr">
        <is>
          <t>Supporting</t>
        </is>
      </c>
      <c r="G126" s="5" t="inlineStr">
        <is>
          <t>Foundation datasets and model ecosystems</t>
        </is>
      </c>
      <c r="H126" s="5" t="inlineStr">
        <is>
          <t>Adsorbates on catalyst surfaces</t>
        </is>
      </c>
      <c r="I126" s="5" t="inlineStr">
        <is>
          <t>S2EF; IS2RS; IS2RE catalyst tasks</t>
        </is>
      </c>
      <c r="J126" s="5" t="inlineStr">
        <is>
          <t>OC20 baselines</t>
        </is>
      </c>
      <c r="K126" s="5" t="inlineStr">
        <is>
          <t>Energy/force errors; relaxation and adsorption-energy metrics</t>
        </is>
      </c>
      <c r="L126" s="5" t="inlineStr">
        <is>
          <t>DFT</t>
        </is>
      </c>
      <c r="M126" s="6" t="inlineStr">
        <is>
          <t>10.1021/acscatal.0c04525</t>
        </is>
      </c>
      <c r="N126" s="7" t="inlineStr">
        <is>
          <t>https://doi.org/10.1021/acscatal.0c04525</t>
        </is>
      </c>
      <c r="O126" s="7" t="inlineStr">
        <is>
          <t>https://github.com/FAIR-Chem/fairchem</t>
        </is>
      </c>
      <c r="P126" s="5" t="inlineStr"/>
      <c r="Q126" s="5" t="inlineStr">
        <is>
          <t>Yes</t>
        </is>
      </c>
      <c r="R126" s="5" t="inlineStr">
        <is>
          <t>Yes</t>
        </is>
      </c>
      <c r="S126" s="8" t="inlineStr">
        <is>
          <t>New literature sweep; web-verified</t>
        </is>
      </c>
      <c r="T126" s="9" t="inlineStr">
        <is>
          <t>A</t>
        </is>
      </c>
      <c r="U126" s="8" t="inlineStr">
        <is>
          <t>2026-09-29</t>
        </is>
      </c>
      <c r="V126" s="5" t="inlineStr">
        <is>
          <t>No</t>
        </is>
      </c>
      <c r="W126" s="5" t="inlineStr">
        <is>
          <t>Medium</t>
        </is>
      </c>
      <c r="X126" s="5" t="inlineStr">
        <is>
          <t>Foundational large-scale catalysis dataset and benchmark challenge.</t>
        </is>
      </c>
    </row>
    <row r="127">
      <c r="A127" s="5" t="inlineStr">
        <is>
          <t>E019</t>
        </is>
      </c>
      <c r="B127" s="5" t="inlineStr">
        <is>
          <t>XJIJ64QQ</t>
        </is>
      </c>
      <c r="C127" s="5" t="inlineStr">
        <is>
          <t>Predicting stable crystalline compounds using chemical similarity</t>
        </is>
      </c>
      <c r="D127" s="5" t="inlineStr">
        <is>
          <t>2021</t>
        </is>
      </c>
      <c r="E127" s="5" t="inlineStr">
        <is>
          <t>Adjacent / supporting resource</t>
        </is>
      </c>
      <c r="F127" s="5" t="inlineStr">
        <is>
          <t>Supporting</t>
        </is>
      </c>
      <c r="G127" s="5" t="inlineStr">
        <is>
          <t>General and foundation MLIP evaluation</t>
        </is>
      </c>
      <c r="H127" s="5" t="inlineStr">
        <is>
          <t>Inorganic crystals</t>
        </is>
      </c>
      <c r="I127" s="5" t="inlineStr">
        <is>
          <t>application-specific evaluation</t>
        </is>
      </c>
      <c r="J127" s="5" t="inlineStr"/>
      <c r="K127" s="5" t="inlineStr">
        <is>
          <t>task-specific metrics</t>
        </is>
      </c>
      <c r="L127" s="5" t="inlineStr">
        <is>
          <t>DFT / reference data (see paper)</t>
        </is>
      </c>
      <c r="M127" s="6" t="inlineStr">
        <is>
          <t>10.1038/s41524-020-00481-6</t>
        </is>
      </c>
      <c r="N127" s="7" t="inlineStr">
        <is>
          <t>https://www.nature.com/articles/s41524-020-00481-6</t>
        </is>
      </c>
      <c r="O127" s="5" t="inlineStr"/>
      <c r="P127" s="5" t="inlineStr"/>
      <c r="Q127" s="5" t="inlineStr">
        <is>
          <t>Yes</t>
        </is>
      </c>
      <c r="R127" s="5" t="inlineStr">
        <is>
          <t>Unknown</t>
        </is>
      </c>
      <c r="S127" s="8" t="inlineStr">
        <is>
          <t>Existing Zotero bibliography; normalized</t>
        </is>
      </c>
      <c r="T127" s="10" t="inlineStr">
        <is>
          <t>B</t>
        </is>
      </c>
      <c r="U127" s="8" t="inlineStr">
        <is>
          <t>2026-09-29</t>
        </is>
      </c>
      <c r="V127" s="5" t="inlineStr">
        <is>
          <t>Yes</t>
        </is>
      </c>
      <c r="W127" s="5" t="inlineStr">
        <is>
          <t>Medium</t>
        </is>
      </c>
      <c r="X127" s="5" t="inlineStr"/>
    </row>
    <row r="128">
      <c r="A128" s="5" t="inlineStr">
        <is>
          <t>E020</t>
        </is>
      </c>
      <c r="B128" s="5" t="inlineStr">
        <is>
          <t>BKB7PP77</t>
        </is>
      </c>
      <c r="C128" s="5" t="inlineStr">
        <is>
          <t>A framework for quantifying uncertainty in DFT energy corrections</t>
        </is>
      </c>
      <c r="D128" s="5" t="inlineStr">
        <is>
          <t>2021</t>
        </is>
      </c>
      <c r="E128" s="5" t="inlineStr">
        <is>
          <t>Adjacent / supporting resource</t>
        </is>
      </c>
      <c r="F128" s="5" t="inlineStr">
        <is>
          <t>Supporting</t>
        </is>
      </c>
      <c r="G128" s="5" t="inlineStr">
        <is>
          <t>Methodology, reliability and efficiency</t>
        </is>
      </c>
      <c r="H128" s="5" t="inlineStr">
        <is>
          <t>Broad / mixed atomistic systems</t>
        </is>
      </c>
      <c r="I128" s="5" t="inlineStr">
        <is>
          <t>energy/force/stress accuracy; uncertainty / OOD</t>
        </is>
      </c>
      <c r="J128" s="5" t="inlineStr"/>
      <c r="K128" s="5" t="inlineStr">
        <is>
          <t>energy/force/stress MAE or RMSE; calibration / error-UQ correlation</t>
        </is>
      </c>
      <c r="L128" s="5" t="inlineStr">
        <is>
          <t>DFT / reference data (see paper)</t>
        </is>
      </c>
      <c r="M128" s="6" t="inlineStr">
        <is>
          <t>10.1038/s41598-021-94550-5</t>
        </is>
      </c>
      <c r="N128" s="7" t="inlineStr">
        <is>
          <t>https://www.nature.com/articles/s41598-021-94550-5</t>
        </is>
      </c>
      <c r="O128" s="5" t="inlineStr"/>
      <c r="P128" s="5" t="inlineStr"/>
      <c r="Q128" s="5" t="inlineStr">
        <is>
          <t>Yes</t>
        </is>
      </c>
      <c r="R128" s="5" t="inlineStr">
        <is>
          <t>Unknown</t>
        </is>
      </c>
      <c r="S128" s="8" t="inlineStr">
        <is>
          <t>Existing Zotero bibliography; normalized</t>
        </is>
      </c>
      <c r="T128" s="10" t="inlineStr">
        <is>
          <t>B</t>
        </is>
      </c>
      <c r="U128" s="8" t="inlineStr">
        <is>
          <t>2026-09-29</t>
        </is>
      </c>
      <c r="V128" s="5" t="inlineStr">
        <is>
          <t>Yes</t>
        </is>
      </c>
      <c r="W128" s="5" t="inlineStr">
        <is>
          <t>Medium</t>
        </is>
      </c>
      <c r="X128" s="5" t="inlineStr"/>
    </row>
    <row r="129">
      <c r="A129" s="5" t="inlineStr">
        <is>
          <t>E035</t>
        </is>
      </c>
      <c r="B129" s="5" t="inlineStr">
        <is>
          <t>X38VXXV9</t>
        </is>
      </c>
      <c r="C129" s="5" t="inlineStr">
        <is>
          <t>The joint automated repository for various integrated simulations (JARVIS) for data-driven materials design</t>
        </is>
      </c>
      <c r="D129" s="5" t="inlineStr">
        <is>
          <t>2020</t>
        </is>
      </c>
      <c r="E129" s="5" t="inlineStr">
        <is>
          <t>Adjacent / supporting resource</t>
        </is>
      </c>
      <c r="F129" s="5" t="inlineStr">
        <is>
          <t>Supporting</t>
        </is>
      </c>
      <c r="G129" s="5" t="inlineStr">
        <is>
          <t>Benchmark suites and platforms</t>
        </is>
      </c>
      <c r="H129" s="5" t="inlineStr">
        <is>
          <t>Broad / mixed atomistic systems</t>
        </is>
      </c>
      <c r="I129" s="5" t="inlineStr">
        <is>
          <t>application-specific evaluation</t>
        </is>
      </c>
      <c r="J129" s="5" t="inlineStr"/>
      <c r="K129" s="5" t="inlineStr">
        <is>
          <t>task-specific metrics</t>
        </is>
      </c>
      <c r="L129" s="5" t="inlineStr">
        <is>
          <t>DFT / reference data (see paper)</t>
        </is>
      </c>
      <c r="M129" s="6" t="inlineStr">
        <is>
          <t>10.1038/s41524-020-00440-1</t>
        </is>
      </c>
      <c r="N129" s="7" t="inlineStr">
        <is>
          <t>https://www.nature.com/articles/s41524-020-00440-1</t>
        </is>
      </c>
      <c r="O129" s="5" t="inlineStr"/>
      <c r="P129" s="5" t="inlineStr"/>
      <c r="Q129" s="5" t="inlineStr">
        <is>
          <t>Yes</t>
        </is>
      </c>
      <c r="R129" s="5" t="inlineStr">
        <is>
          <t>Unknown</t>
        </is>
      </c>
      <c r="S129" s="8" t="inlineStr">
        <is>
          <t>Existing Zotero bibliography; normalized</t>
        </is>
      </c>
      <c r="T129" s="10" t="inlineStr">
        <is>
          <t>B</t>
        </is>
      </c>
      <c r="U129" s="8" t="inlineStr">
        <is>
          <t>2026-09-29</t>
        </is>
      </c>
      <c r="V129" s="5" t="inlineStr">
        <is>
          <t>Yes</t>
        </is>
      </c>
      <c r="W129" s="5" t="inlineStr">
        <is>
          <t>Medium</t>
        </is>
      </c>
      <c r="X129" s="5" t="inlineStr"/>
    </row>
    <row r="130">
      <c r="A130" s="5" t="inlineStr">
        <is>
          <t>E026</t>
        </is>
      </c>
      <c r="B130" s="5" t="inlineStr">
        <is>
          <t>9IKC6IS3</t>
        </is>
      </c>
      <c r="C130" s="5" t="inlineStr">
        <is>
          <t>DScribe: Library of descriptors for machine learning in materials science</t>
        </is>
      </c>
      <c r="D130" s="5" t="inlineStr">
        <is>
          <t>2020</t>
        </is>
      </c>
      <c r="E130" s="5" t="inlineStr">
        <is>
          <t>Adjacent / supporting resource</t>
        </is>
      </c>
      <c r="F130" s="5" t="inlineStr">
        <is>
          <t>Supporting</t>
        </is>
      </c>
      <c r="G130" s="5" t="inlineStr">
        <is>
          <t>Broader atomistic ML benchmarks</t>
        </is>
      </c>
      <c r="H130" s="5" t="inlineStr">
        <is>
          <t>Broad / mixed atomistic systems</t>
        </is>
      </c>
      <c r="I130" s="5" t="inlineStr">
        <is>
          <t>application-specific evaluation</t>
        </is>
      </c>
      <c r="J130" s="5" t="inlineStr"/>
      <c r="K130" s="5" t="inlineStr">
        <is>
          <t>task-specific metrics</t>
        </is>
      </c>
      <c r="L130" s="5" t="inlineStr">
        <is>
          <t>DFT / reference data (see paper)</t>
        </is>
      </c>
      <c r="M130" s="6" t="inlineStr">
        <is>
          <t>10.1016/j.cpc.2019.106949</t>
        </is>
      </c>
      <c r="N130" s="7" t="inlineStr">
        <is>
          <t>https://www.sciencedirect.com/science/article/pii/S0010465519303042</t>
        </is>
      </c>
      <c r="O130" s="5" t="inlineStr"/>
      <c r="P130" s="5" t="inlineStr"/>
      <c r="Q130" s="5" t="inlineStr">
        <is>
          <t>Yes</t>
        </is>
      </c>
      <c r="R130" s="5" t="inlineStr">
        <is>
          <t>Unknown</t>
        </is>
      </c>
      <c r="S130" s="8" t="inlineStr">
        <is>
          <t>Existing Zotero bibliography; normalized</t>
        </is>
      </c>
      <c r="T130" s="10" t="inlineStr">
        <is>
          <t>B</t>
        </is>
      </c>
      <c r="U130" s="8" t="inlineStr">
        <is>
          <t>2026-09-29</t>
        </is>
      </c>
      <c r="V130" s="5" t="inlineStr">
        <is>
          <t>Yes</t>
        </is>
      </c>
      <c r="W130" s="5" t="inlineStr">
        <is>
          <t>Medium</t>
        </is>
      </c>
      <c r="X130" s="5" t="inlineStr"/>
    </row>
    <row r="131">
      <c r="A131" s="5" t="inlineStr">
        <is>
          <t>N028</t>
        </is>
      </c>
      <c r="B131" s="5" t="inlineStr"/>
      <c r="C131" s="5" t="inlineStr">
        <is>
          <t>ANI-1x and ANI-1ccx quantum chemistry datasets</t>
        </is>
      </c>
      <c r="D131" s="5" t="inlineStr">
        <is>
          <t>2020</t>
        </is>
      </c>
      <c r="E131" s="5" t="inlineStr">
        <is>
          <t>Benchmark-supporting dataset</t>
        </is>
      </c>
      <c r="F131" s="5" t="inlineStr">
        <is>
          <t>Supporting</t>
        </is>
      </c>
      <c r="G131" s="5" t="inlineStr">
        <is>
          <t>Foundation datasets and model ecosystems</t>
        </is>
      </c>
      <c r="H131" s="5" t="inlineStr">
        <is>
          <t>Organic molecules</t>
        </is>
      </c>
      <c r="I131" s="5" t="inlineStr">
        <is>
          <t>Large molecular PES training and transfer evaluation</t>
        </is>
      </c>
      <c r="J131" s="5" t="inlineStr">
        <is>
          <t>ANI models and molecular ML potentials</t>
        </is>
      </c>
      <c r="K131" s="5" t="inlineStr">
        <is>
          <t>Energy/force errors; high-level transfer</t>
        </is>
      </c>
      <c r="L131" s="5" t="inlineStr">
        <is>
          <t>DFT and CCSD(T)/CBS</t>
        </is>
      </c>
      <c r="M131" s="6" t="inlineStr">
        <is>
          <t>10.1038/s41597-020-0473-z</t>
        </is>
      </c>
      <c r="N131" s="7" t="inlineStr">
        <is>
          <t>https://doi.org/10.1038/s41597-020-0473-z</t>
        </is>
      </c>
      <c r="O131" s="5" t="inlineStr"/>
      <c r="P131" s="5" t="inlineStr"/>
      <c r="Q131" s="5" t="inlineStr">
        <is>
          <t>Yes</t>
        </is>
      </c>
      <c r="R131" s="5" t="inlineStr">
        <is>
          <t>Unknown</t>
        </is>
      </c>
      <c r="S131" s="8" t="inlineStr">
        <is>
          <t>New literature sweep; web-verified</t>
        </is>
      </c>
      <c r="T131" s="9" t="inlineStr">
        <is>
          <t>A</t>
        </is>
      </c>
      <c r="U131" s="8" t="inlineStr">
        <is>
          <t>2026-09-29</t>
        </is>
      </c>
      <c r="V131" s="5" t="inlineStr">
        <is>
          <t>No</t>
        </is>
      </c>
      <c r="W131" s="5" t="inlineStr">
        <is>
          <t>Medium</t>
        </is>
      </c>
      <c r="X131" s="5" t="inlineStr">
        <is>
          <t>About 5M DFT structures plus a high-level coupled-cluster subset.</t>
        </is>
      </c>
    </row>
    <row r="132">
      <c r="A132" s="5" t="inlineStr">
        <is>
          <t>N026</t>
        </is>
      </c>
      <c r="B132" s="5" t="inlineStr"/>
      <c r="C132" s="5" t="inlineStr">
        <is>
          <t>Revised MD17 (rMD17) benchmark dataset</t>
        </is>
      </c>
      <c r="D132" s="5" t="inlineStr">
        <is>
          <t>2020</t>
        </is>
      </c>
      <c r="E132" s="5" t="inlineStr">
        <is>
          <t>Benchmark-supporting dataset</t>
        </is>
      </c>
      <c r="F132" s="5" t="inlineStr">
        <is>
          <t>Supporting</t>
        </is>
      </c>
      <c r="G132" s="5" t="inlineStr">
        <is>
          <t>Foundation datasets and model ecosystems</t>
        </is>
      </c>
      <c r="H132" s="5" t="inlineStr">
        <is>
          <t>Small organic molecules</t>
        </is>
      </c>
      <c r="I132" s="5" t="inlineStr">
        <is>
          <t>Molecular force-field interpolation and dynamics</t>
        </is>
      </c>
      <c r="J132" s="5" t="inlineStr">
        <is>
          <t>Many molecular MLFFs</t>
        </is>
      </c>
      <c r="K132" s="5" t="inlineStr">
        <is>
          <t>Energy and force MAE/RMSE</t>
        </is>
      </c>
      <c r="L132" s="5" t="inlineStr">
        <is>
          <t>High-accuracy DFT</t>
        </is>
      </c>
      <c r="M132" s="5" t="inlineStr"/>
      <c r="N132" s="7" t="inlineStr">
        <is>
          <t>https://doi.org/10.6084/m9.figshare.12672038</t>
        </is>
      </c>
      <c r="O132" s="5" t="inlineStr"/>
      <c r="P132" s="7" t="inlineStr">
        <is>
          <t>https://doi.org/10.6084/m9.figshare.12672038</t>
        </is>
      </c>
      <c r="Q132" s="5" t="inlineStr">
        <is>
          <t>No</t>
        </is>
      </c>
      <c r="R132" s="5" t="inlineStr">
        <is>
          <t>Yes</t>
        </is>
      </c>
      <c r="S132" s="8" t="inlineStr">
        <is>
          <t>New literature sweep; web-verified</t>
        </is>
      </c>
      <c r="T132" s="9" t="inlineStr">
        <is>
          <t>A</t>
        </is>
      </c>
      <c r="U132" s="8" t="inlineStr">
        <is>
          <t>2026-09-29</t>
        </is>
      </c>
      <c r="V132" s="5" t="inlineStr">
        <is>
          <t>No</t>
        </is>
      </c>
      <c r="W132" s="5" t="inlineStr">
        <is>
          <t>Medium</t>
        </is>
      </c>
      <c r="X132" s="5" t="inlineStr">
        <is>
          <t>Recomputed MD17 with tighter electronic-structure settings; ubiquitous molecular MLFF benchmark.</t>
        </is>
      </c>
    </row>
    <row r="133">
      <c r="A133" s="5" t="inlineStr">
        <is>
          <t>E060</t>
        </is>
      </c>
      <c r="B133" s="5" t="inlineStr">
        <is>
          <t>C7VP35DL</t>
        </is>
      </c>
      <c r="C133" s="5" t="inlineStr">
        <is>
          <t>Machine Learning Interatomic Potentials as Emerging Tools for Materials Science</t>
        </is>
      </c>
      <c r="D133" s="5" t="inlineStr">
        <is>
          <t>2019</t>
        </is>
      </c>
      <c r="E133" s="5" t="inlineStr">
        <is>
          <t>Review / perspective</t>
        </is>
      </c>
      <c r="F133" s="5" t="inlineStr">
        <is>
          <t>Supporting</t>
        </is>
      </c>
      <c r="G133" s="5" t="inlineStr">
        <is>
          <t>General and foundation MLIP evaluation</t>
        </is>
      </c>
      <c r="H133" s="5" t="inlineStr">
        <is>
          <t>Broad / mixed atomistic systems</t>
        </is>
      </c>
      <c r="I133" s="5" t="inlineStr">
        <is>
          <t>application-specific evaluation</t>
        </is>
      </c>
      <c r="J133" s="5" t="inlineStr"/>
      <c r="K133" s="5" t="inlineStr">
        <is>
          <t>task-specific metrics</t>
        </is>
      </c>
      <c r="L133" s="5" t="inlineStr">
        <is>
          <t>DFT / reference data (see paper)</t>
        </is>
      </c>
      <c r="M133" s="6" t="inlineStr">
        <is>
          <t>10.1002/adma.201902765</t>
        </is>
      </c>
      <c r="N133" s="7" t="inlineStr">
        <is>
          <t>https://advanced.onlinelibrary.wiley.com/doi/10.1002/adma.201902765</t>
        </is>
      </c>
      <c r="O133" s="5" t="inlineStr"/>
      <c r="P133" s="5" t="inlineStr"/>
      <c r="Q133" s="5" t="inlineStr">
        <is>
          <t>Yes</t>
        </is>
      </c>
      <c r="R133" s="5" t="inlineStr">
        <is>
          <t>Unknown</t>
        </is>
      </c>
      <c r="S133" s="8" t="inlineStr">
        <is>
          <t>Existing Zotero bibliography; normalized</t>
        </is>
      </c>
      <c r="T133" s="10" t="inlineStr">
        <is>
          <t>B</t>
        </is>
      </c>
      <c r="U133" s="8" t="inlineStr">
        <is>
          <t>2026-09-29</t>
        </is>
      </c>
      <c r="V133" s="5" t="inlineStr">
        <is>
          <t>Yes</t>
        </is>
      </c>
      <c r="W133" s="5" t="inlineStr">
        <is>
          <t>Medium</t>
        </is>
      </c>
      <c r="X133" s="5" t="inlineStr"/>
    </row>
    <row r="134">
      <c r="A134" s="5" t="inlineStr">
        <is>
          <t>E025</t>
        </is>
      </c>
      <c r="B134" s="5" t="inlineStr">
        <is>
          <t>6KXJ9GXG</t>
        </is>
      </c>
      <c r="C134" s="5" t="inlineStr">
        <is>
          <t>Machine learning of accurate energy-conserving molecular force fields</t>
        </is>
      </c>
      <c r="D134" s="5" t="inlineStr">
        <is>
          <t>2017</t>
        </is>
      </c>
      <c r="E134" s="5" t="inlineStr">
        <is>
          <t>Adjacent / supporting resource</t>
        </is>
      </c>
      <c r="F134" s="5" t="inlineStr">
        <is>
          <t>Supporting</t>
        </is>
      </c>
      <c r="G134" s="5" t="inlineStr">
        <is>
          <t>General and foundation MLIP evaluation</t>
        </is>
      </c>
      <c r="H134" s="5" t="inlineStr">
        <is>
          <t>Molecular / chemical systems</t>
        </is>
      </c>
      <c r="I134" s="5" t="inlineStr">
        <is>
          <t>energy/force/stress accuracy</t>
        </is>
      </c>
      <c r="J134" s="5" t="inlineStr"/>
      <c r="K134" s="5" t="inlineStr">
        <is>
          <t>energy/force/stress MAE or RMSE</t>
        </is>
      </c>
      <c r="L134" s="5" t="inlineStr">
        <is>
          <t>DFT / reference data (see paper)</t>
        </is>
      </c>
      <c r="M134" s="6" t="inlineStr">
        <is>
          <t>10.1126/sciadv.1603015</t>
        </is>
      </c>
      <c r="N134" s="7" t="inlineStr">
        <is>
          <t>https://www.science.org/doi/10.1126/sciadv.1603015</t>
        </is>
      </c>
      <c r="O134" s="5" t="inlineStr"/>
      <c r="P134" s="5" t="inlineStr"/>
      <c r="Q134" s="5" t="inlineStr">
        <is>
          <t>Yes</t>
        </is>
      </c>
      <c r="R134" s="5" t="inlineStr">
        <is>
          <t>Unknown</t>
        </is>
      </c>
      <c r="S134" s="8" t="inlineStr">
        <is>
          <t>Existing Zotero bibliography; normalized</t>
        </is>
      </c>
      <c r="T134" s="10" t="inlineStr">
        <is>
          <t>B</t>
        </is>
      </c>
      <c r="U134" s="8" t="inlineStr">
        <is>
          <t>2026-09-29</t>
        </is>
      </c>
      <c r="V134" s="5" t="inlineStr">
        <is>
          <t>Yes</t>
        </is>
      </c>
      <c r="W134" s="5" t="inlineStr">
        <is>
          <t>Medium</t>
        </is>
      </c>
      <c r="X134" s="5" t="inlineStr"/>
    </row>
  </sheetData>
  <autoFilter ref="A1:X13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O7" r:id="rId7"/>
    <hyperlink xmlns:r="http://schemas.openxmlformats.org/officeDocument/2006/relationships" ref="P7" r:id="rId8"/>
    <hyperlink xmlns:r="http://schemas.openxmlformats.org/officeDocument/2006/relationships" ref="N8" r:id="rId9"/>
    <hyperlink xmlns:r="http://schemas.openxmlformats.org/officeDocument/2006/relationships" ref="N9" r:id="rId10"/>
    <hyperlink xmlns:r="http://schemas.openxmlformats.org/officeDocument/2006/relationships" ref="N10" r:id="rId11"/>
    <hyperlink xmlns:r="http://schemas.openxmlformats.org/officeDocument/2006/relationships" ref="N11" r:id="rId12"/>
    <hyperlink xmlns:r="http://schemas.openxmlformats.org/officeDocument/2006/relationships" ref="N12" r:id="rId13"/>
    <hyperlink xmlns:r="http://schemas.openxmlformats.org/officeDocument/2006/relationships" ref="N13" r:id="rId14"/>
    <hyperlink xmlns:r="http://schemas.openxmlformats.org/officeDocument/2006/relationships" ref="N14" r:id="rId15"/>
    <hyperlink xmlns:r="http://schemas.openxmlformats.org/officeDocument/2006/relationships" ref="N15" r:id="rId16"/>
    <hyperlink xmlns:r="http://schemas.openxmlformats.org/officeDocument/2006/relationships" ref="N16" r:id="rId17"/>
    <hyperlink xmlns:r="http://schemas.openxmlformats.org/officeDocument/2006/relationships" ref="N17" r:id="rId18"/>
    <hyperlink xmlns:r="http://schemas.openxmlformats.org/officeDocument/2006/relationships" ref="N18" r:id="rId19"/>
    <hyperlink xmlns:r="http://schemas.openxmlformats.org/officeDocument/2006/relationships" ref="N19" r:id="rId20"/>
    <hyperlink xmlns:r="http://schemas.openxmlformats.org/officeDocument/2006/relationships" ref="N20" r:id="rId21"/>
    <hyperlink xmlns:r="http://schemas.openxmlformats.org/officeDocument/2006/relationships" ref="N21" r:id="rId22"/>
    <hyperlink xmlns:r="http://schemas.openxmlformats.org/officeDocument/2006/relationships" ref="N22" r:id="rId23"/>
    <hyperlink xmlns:r="http://schemas.openxmlformats.org/officeDocument/2006/relationships" ref="N23" r:id="rId24"/>
    <hyperlink xmlns:r="http://schemas.openxmlformats.org/officeDocument/2006/relationships" ref="N24" r:id="rId25"/>
    <hyperlink xmlns:r="http://schemas.openxmlformats.org/officeDocument/2006/relationships" ref="N25" r:id="rId26"/>
    <hyperlink xmlns:r="http://schemas.openxmlformats.org/officeDocument/2006/relationships" ref="P25" r:id="rId27"/>
    <hyperlink xmlns:r="http://schemas.openxmlformats.org/officeDocument/2006/relationships" ref="N26" r:id="rId28"/>
    <hyperlink xmlns:r="http://schemas.openxmlformats.org/officeDocument/2006/relationships" ref="N27" r:id="rId29"/>
    <hyperlink xmlns:r="http://schemas.openxmlformats.org/officeDocument/2006/relationships" ref="N28" r:id="rId30"/>
    <hyperlink xmlns:r="http://schemas.openxmlformats.org/officeDocument/2006/relationships" ref="N29" r:id="rId31"/>
    <hyperlink xmlns:r="http://schemas.openxmlformats.org/officeDocument/2006/relationships" ref="N30" r:id="rId32"/>
    <hyperlink xmlns:r="http://schemas.openxmlformats.org/officeDocument/2006/relationships" ref="N31" r:id="rId33"/>
    <hyperlink xmlns:r="http://schemas.openxmlformats.org/officeDocument/2006/relationships" ref="N32" r:id="rId34"/>
    <hyperlink xmlns:r="http://schemas.openxmlformats.org/officeDocument/2006/relationships" ref="N33" r:id="rId35"/>
    <hyperlink xmlns:r="http://schemas.openxmlformats.org/officeDocument/2006/relationships" ref="O33" r:id="rId36"/>
    <hyperlink xmlns:r="http://schemas.openxmlformats.org/officeDocument/2006/relationships" ref="P33" r:id="rId37"/>
    <hyperlink xmlns:r="http://schemas.openxmlformats.org/officeDocument/2006/relationships" ref="N34" r:id="rId38"/>
    <hyperlink xmlns:r="http://schemas.openxmlformats.org/officeDocument/2006/relationships" ref="N35" r:id="rId39"/>
    <hyperlink xmlns:r="http://schemas.openxmlformats.org/officeDocument/2006/relationships" ref="N36" r:id="rId40"/>
    <hyperlink xmlns:r="http://schemas.openxmlformats.org/officeDocument/2006/relationships" ref="O36" r:id="rId41"/>
    <hyperlink xmlns:r="http://schemas.openxmlformats.org/officeDocument/2006/relationships" ref="P36" r:id="rId42"/>
    <hyperlink xmlns:r="http://schemas.openxmlformats.org/officeDocument/2006/relationships" ref="N37" r:id="rId43"/>
    <hyperlink xmlns:r="http://schemas.openxmlformats.org/officeDocument/2006/relationships" ref="N38" r:id="rId44"/>
    <hyperlink xmlns:r="http://schemas.openxmlformats.org/officeDocument/2006/relationships" ref="N39" r:id="rId45"/>
    <hyperlink xmlns:r="http://schemas.openxmlformats.org/officeDocument/2006/relationships" ref="N40" r:id="rId46"/>
    <hyperlink xmlns:r="http://schemas.openxmlformats.org/officeDocument/2006/relationships" ref="N41" r:id="rId47"/>
    <hyperlink xmlns:r="http://schemas.openxmlformats.org/officeDocument/2006/relationships" ref="N42" r:id="rId48"/>
    <hyperlink xmlns:r="http://schemas.openxmlformats.org/officeDocument/2006/relationships" ref="P42" r:id="rId49"/>
    <hyperlink xmlns:r="http://schemas.openxmlformats.org/officeDocument/2006/relationships" ref="N43" r:id="rId50"/>
    <hyperlink xmlns:r="http://schemas.openxmlformats.org/officeDocument/2006/relationships" ref="N44" r:id="rId51"/>
    <hyperlink xmlns:r="http://schemas.openxmlformats.org/officeDocument/2006/relationships" ref="N45" r:id="rId52"/>
    <hyperlink xmlns:r="http://schemas.openxmlformats.org/officeDocument/2006/relationships" ref="N46" r:id="rId53"/>
    <hyperlink xmlns:r="http://schemas.openxmlformats.org/officeDocument/2006/relationships" ref="N47" r:id="rId54"/>
    <hyperlink xmlns:r="http://schemas.openxmlformats.org/officeDocument/2006/relationships" ref="N48" r:id="rId55"/>
    <hyperlink xmlns:r="http://schemas.openxmlformats.org/officeDocument/2006/relationships" ref="N49" r:id="rId56"/>
    <hyperlink xmlns:r="http://schemas.openxmlformats.org/officeDocument/2006/relationships" ref="N50" r:id="rId57"/>
    <hyperlink xmlns:r="http://schemas.openxmlformats.org/officeDocument/2006/relationships" ref="N51" r:id="rId58"/>
    <hyperlink xmlns:r="http://schemas.openxmlformats.org/officeDocument/2006/relationships" ref="N52" r:id="rId59"/>
    <hyperlink xmlns:r="http://schemas.openxmlformats.org/officeDocument/2006/relationships" ref="N53" r:id="rId60"/>
    <hyperlink xmlns:r="http://schemas.openxmlformats.org/officeDocument/2006/relationships" ref="N54" r:id="rId61"/>
    <hyperlink xmlns:r="http://schemas.openxmlformats.org/officeDocument/2006/relationships" ref="N55" r:id="rId62"/>
    <hyperlink xmlns:r="http://schemas.openxmlformats.org/officeDocument/2006/relationships" ref="N56" r:id="rId63"/>
    <hyperlink xmlns:r="http://schemas.openxmlformats.org/officeDocument/2006/relationships" ref="N57" r:id="rId64"/>
    <hyperlink xmlns:r="http://schemas.openxmlformats.org/officeDocument/2006/relationships" ref="N58" r:id="rId65"/>
    <hyperlink xmlns:r="http://schemas.openxmlformats.org/officeDocument/2006/relationships" ref="N59" r:id="rId66"/>
    <hyperlink xmlns:r="http://schemas.openxmlformats.org/officeDocument/2006/relationships" ref="N60" r:id="rId67"/>
    <hyperlink xmlns:r="http://schemas.openxmlformats.org/officeDocument/2006/relationships" ref="N61" r:id="rId68"/>
    <hyperlink xmlns:r="http://schemas.openxmlformats.org/officeDocument/2006/relationships" ref="N62" r:id="rId69"/>
    <hyperlink xmlns:r="http://schemas.openxmlformats.org/officeDocument/2006/relationships" ref="O62" r:id="rId70"/>
    <hyperlink xmlns:r="http://schemas.openxmlformats.org/officeDocument/2006/relationships" ref="N63" r:id="rId71"/>
    <hyperlink xmlns:r="http://schemas.openxmlformats.org/officeDocument/2006/relationships" ref="N64" r:id="rId72"/>
    <hyperlink xmlns:r="http://schemas.openxmlformats.org/officeDocument/2006/relationships" ref="N65" r:id="rId73"/>
    <hyperlink xmlns:r="http://schemas.openxmlformats.org/officeDocument/2006/relationships" ref="N66" r:id="rId74"/>
    <hyperlink xmlns:r="http://schemas.openxmlformats.org/officeDocument/2006/relationships" ref="N67" r:id="rId75"/>
    <hyperlink xmlns:r="http://schemas.openxmlformats.org/officeDocument/2006/relationships" ref="N68" r:id="rId76"/>
    <hyperlink xmlns:r="http://schemas.openxmlformats.org/officeDocument/2006/relationships" ref="N69" r:id="rId77"/>
    <hyperlink xmlns:r="http://schemas.openxmlformats.org/officeDocument/2006/relationships" ref="N70" r:id="rId78"/>
    <hyperlink xmlns:r="http://schemas.openxmlformats.org/officeDocument/2006/relationships" ref="N71" r:id="rId79"/>
    <hyperlink xmlns:r="http://schemas.openxmlformats.org/officeDocument/2006/relationships" ref="N72" r:id="rId80"/>
    <hyperlink xmlns:r="http://schemas.openxmlformats.org/officeDocument/2006/relationships" ref="N73" r:id="rId81"/>
    <hyperlink xmlns:r="http://schemas.openxmlformats.org/officeDocument/2006/relationships" ref="N74" r:id="rId82"/>
    <hyperlink xmlns:r="http://schemas.openxmlformats.org/officeDocument/2006/relationships" ref="N75" r:id="rId83"/>
    <hyperlink xmlns:r="http://schemas.openxmlformats.org/officeDocument/2006/relationships" ref="N76" r:id="rId84"/>
    <hyperlink xmlns:r="http://schemas.openxmlformats.org/officeDocument/2006/relationships" ref="N77" r:id="rId85"/>
    <hyperlink xmlns:r="http://schemas.openxmlformats.org/officeDocument/2006/relationships" ref="N78" r:id="rId86"/>
    <hyperlink xmlns:r="http://schemas.openxmlformats.org/officeDocument/2006/relationships" ref="O78" r:id="rId87"/>
    <hyperlink xmlns:r="http://schemas.openxmlformats.org/officeDocument/2006/relationships" ref="N79" r:id="rId88"/>
    <hyperlink xmlns:r="http://schemas.openxmlformats.org/officeDocument/2006/relationships" ref="N80" r:id="rId89"/>
    <hyperlink xmlns:r="http://schemas.openxmlformats.org/officeDocument/2006/relationships" ref="N81" r:id="rId90"/>
    <hyperlink xmlns:r="http://schemas.openxmlformats.org/officeDocument/2006/relationships" ref="N82" r:id="rId91"/>
    <hyperlink xmlns:r="http://schemas.openxmlformats.org/officeDocument/2006/relationships" ref="N83" r:id="rId92"/>
    <hyperlink xmlns:r="http://schemas.openxmlformats.org/officeDocument/2006/relationships" ref="O83" r:id="rId93"/>
    <hyperlink xmlns:r="http://schemas.openxmlformats.org/officeDocument/2006/relationships" ref="P83" r:id="rId94"/>
    <hyperlink xmlns:r="http://schemas.openxmlformats.org/officeDocument/2006/relationships" ref="N84" r:id="rId95"/>
    <hyperlink xmlns:r="http://schemas.openxmlformats.org/officeDocument/2006/relationships" ref="N85" r:id="rId96"/>
    <hyperlink xmlns:r="http://schemas.openxmlformats.org/officeDocument/2006/relationships" ref="N86" r:id="rId97"/>
    <hyperlink xmlns:r="http://schemas.openxmlformats.org/officeDocument/2006/relationships" ref="N87" r:id="rId98"/>
    <hyperlink xmlns:r="http://schemas.openxmlformats.org/officeDocument/2006/relationships" ref="N88" r:id="rId99"/>
    <hyperlink xmlns:r="http://schemas.openxmlformats.org/officeDocument/2006/relationships" ref="N89" r:id="rId100"/>
    <hyperlink xmlns:r="http://schemas.openxmlformats.org/officeDocument/2006/relationships" ref="N90" r:id="rId101"/>
    <hyperlink xmlns:r="http://schemas.openxmlformats.org/officeDocument/2006/relationships" ref="N91" r:id="rId102"/>
    <hyperlink xmlns:r="http://schemas.openxmlformats.org/officeDocument/2006/relationships" ref="N92" r:id="rId103"/>
    <hyperlink xmlns:r="http://schemas.openxmlformats.org/officeDocument/2006/relationships" ref="N93" r:id="rId104"/>
    <hyperlink xmlns:r="http://schemas.openxmlformats.org/officeDocument/2006/relationships" ref="N94" r:id="rId105"/>
    <hyperlink xmlns:r="http://schemas.openxmlformats.org/officeDocument/2006/relationships" ref="N95" r:id="rId106"/>
    <hyperlink xmlns:r="http://schemas.openxmlformats.org/officeDocument/2006/relationships" ref="N96" r:id="rId107"/>
    <hyperlink xmlns:r="http://schemas.openxmlformats.org/officeDocument/2006/relationships" ref="N97" r:id="rId108"/>
    <hyperlink xmlns:r="http://schemas.openxmlformats.org/officeDocument/2006/relationships" ref="N98" r:id="rId109"/>
    <hyperlink xmlns:r="http://schemas.openxmlformats.org/officeDocument/2006/relationships" ref="O98" r:id="rId110"/>
    <hyperlink xmlns:r="http://schemas.openxmlformats.org/officeDocument/2006/relationships" ref="P98" r:id="rId111"/>
    <hyperlink xmlns:r="http://schemas.openxmlformats.org/officeDocument/2006/relationships" ref="N99" r:id="rId112"/>
    <hyperlink xmlns:r="http://schemas.openxmlformats.org/officeDocument/2006/relationships" ref="O99" r:id="rId113"/>
    <hyperlink xmlns:r="http://schemas.openxmlformats.org/officeDocument/2006/relationships" ref="P99" r:id="rId114"/>
    <hyperlink xmlns:r="http://schemas.openxmlformats.org/officeDocument/2006/relationships" ref="N100" r:id="rId115"/>
    <hyperlink xmlns:r="http://schemas.openxmlformats.org/officeDocument/2006/relationships" ref="O100" r:id="rId116"/>
    <hyperlink xmlns:r="http://schemas.openxmlformats.org/officeDocument/2006/relationships" ref="N101" r:id="rId117"/>
    <hyperlink xmlns:r="http://schemas.openxmlformats.org/officeDocument/2006/relationships" ref="O101" r:id="rId118"/>
    <hyperlink xmlns:r="http://schemas.openxmlformats.org/officeDocument/2006/relationships" ref="N102" r:id="rId119"/>
    <hyperlink xmlns:r="http://schemas.openxmlformats.org/officeDocument/2006/relationships" ref="O102" r:id="rId120"/>
    <hyperlink xmlns:r="http://schemas.openxmlformats.org/officeDocument/2006/relationships" ref="P102" r:id="rId121"/>
    <hyperlink xmlns:r="http://schemas.openxmlformats.org/officeDocument/2006/relationships" ref="N103" r:id="rId122"/>
    <hyperlink xmlns:r="http://schemas.openxmlformats.org/officeDocument/2006/relationships" ref="N104" r:id="rId123"/>
    <hyperlink xmlns:r="http://schemas.openxmlformats.org/officeDocument/2006/relationships" ref="N105" r:id="rId124"/>
    <hyperlink xmlns:r="http://schemas.openxmlformats.org/officeDocument/2006/relationships" ref="N106" r:id="rId125"/>
    <hyperlink xmlns:r="http://schemas.openxmlformats.org/officeDocument/2006/relationships" ref="N107" r:id="rId126"/>
    <hyperlink xmlns:r="http://schemas.openxmlformats.org/officeDocument/2006/relationships" ref="N108" r:id="rId127"/>
    <hyperlink xmlns:r="http://schemas.openxmlformats.org/officeDocument/2006/relationships" ref="O108" r:id="rId128"/>
    <hyperlink xmlns:r="http://schemas.openxmlformats.org/officeDocument/2006/relationships" ref="N109" r:id="rId129"/>
    <hyperlink xmlns:r="http://schemas.openxmlformats.org/officeDocument/2006/relationships" ref="N110" r:id="rId130"/>
    <hyperlink xmlns:r="http://schemas.openxmlformats.org/officeDocument/2006/relationships" ref="O110" r:id="rId131"/>
    <hyperlink xmlns:r="http://schemas.openxmlformats.org/officeDocument/2006/relationships" ref="N111" r:id="rId132"/>
    <hyperlink xmlns:r="http://schemas.openxmlformats.org/officeDocument/2006/relationships" ref="N112" r:id="rId133"/>
    <hyperlink xmlns:r="http://schemas.openxmlformats.org/officeDocument/2006/relationships" ref="N113" r:id="rId134"/>
    <hyperlink xmlns:r="http://schemas.openxmlformats.org/officeDocument/2006/relationships" ref="N114" r:id="rId135"/>
    <hyperlink xmlns:r="http://schemas.openxmlformats.org/officeDocument/2006/relationships" ref="P114" r:id="rId136"/>
    <hyperlink xmlns:r="http://schemas.openxmlformats.org/officeDocument/2006/relationships" ref="N115" r:id="rId137"/>
    <hyperlink xmlns:r="http://schemas.openxmlformats.org/officeDocument/2006/relationships" ref="O115" r:id="rId138"/>
    <hyperlink xmlns:r="http://schemas.openxmlformats.org/officeDocument/2006/relationships" ref="P115" r:id="rId139"/>
    <hyperlink xmlns:r="http://schemas.openxmlformats.org/officeDocument/2006/relationships" ref="N116" r:id="rId140"/>
    <hyperlink xmlns:r="http://schemas.openxmlformats.org/officeDocument/2006/relationships" ref="P116" r:id="rId141"/>
    <hyperlink xmlns:r="http://schemas.openxmlformats.org/officeDocument/2006/relationships" ref="N117" r:id="rId142"/>
    <hyperlink xmlns:r="http://schemas.openxmlformats.org/officeDocument/2006/relationships" ref="N118" r:id="rId143"/>
    <hyperlink xmlns:r="http://schemas.openxmlformats.org/officeDocument/2006/relationships" ref="O118" r:id="rId144"/>
    <hyperlink xmlns:r="http://schemas.openxmlformats.org/officeDocument/2006/relationships" ref="N119" r:id="rId145"/>
    <hyperlink xmlns:r="http://schemas.openxmlformats.org/officeDocument/2006/relationships" ref="O119" r:id="rId146"/>
    <hyperlink xmlns:r="http://schemas.openxmlformats.org/officeDocument/2006/relationships" ref="N120" r:id="rId147"/>
    <hyperlink xmlns:r="http://schemas.openxmlformats.org/officeDocument/2006/relationships" ref="N121" r:id="rId148"/>
    <hyperlink xmlns:r="http://schemas.openxmlformats.org/officeDocument/2006/relationships" ref="N122" r:id="rId149"/>
    <hyperlink xmlns:r="http://schemas.openxmlformats.org/officeDocument/2006/relationships" ref="O122" r:id="rId150"/>
    <hyperlink xmlns:r="http://schemas.openxmlformats.org/officeDocument/2006/relationships" ref="N123" r:id="rId151"/>
    <hyperlink xmlns:r="http://schemas.openxmlformats.org/officeDocument/2006/relationships" ref="O123" r:id="rId152"/>
    <hyperlink xmlns:r="http://schemas.openxmlformats.org/officeDocument/2006/relationships" ref="N124" r:id="rId153"/>
    <hyperlink xmlns:r="http://schemas.openxmlformats.org/officeDocument/2006/relationships" ref="N125" r:id="rId154"/>
    <hyperlink xmlns:r="http://schemas.openxmlformats.org/officeDocument/2006/relationships" ref="N126" r:id="rId155"/>
    <hyperlink xmlns:r="http://schemas.openxmlformats.org/officeDocument/2006/relationships" ref="O126" r:id="rId156"/>
    <hyperlink xmlns:r="http://schemas.openxmlformats.org/officeDocument/2006/relationships" ref="N127" r:id="rId157"/>
    <hyperlink xmlns:r="http://schemas.openxmlformats.org/officeDocument/2006/relationships" ref="N128" r:id="rId158"/>
    <hyperlink xmlns:r="http://schemas.openxmlformats.org/officeDocument/2006/relationships" ref="N129" r:id="rId159"/>
    <hyperlink xmlns:r="http://schemas.openxmlformats.org/officeDocument/2006/relationships" ref="N130" r:id="rId160"/>
    <hyperlink xmlns:r="http://schemas.openxmlformats.org/officeDocument/2006/relationships" ref="N131" r:id="rId161"/>
    <hyperlink xmlns:r="http://schemas.openxmlformats.org/officeDocument/2006/relationships" ref="N132" r:id="rId162"/>
    <hyperlink xmlns:r="http://schemas.openxmlformats.org/officeDocument/2006/relationships" ref="P132" r:id="rId163"/>
    <hyperlink xmlns:r="http://schemas.openxmlformats.org/officeDocument/2006/relationships" ref="N133" r:id="rId164"/>
    <hyperlink xmlns:r="http://schemas.openxmlformats.org/officeDocument/2006/relationships" ref="N134" r:id="rId165"/>
  </hyperlinks>
  <pageMargins left="0.75" right="0.75" top="1" bottom="1" header="0.5" footer="0.5"/>
  <tableParts count="1">
    <tablePart xmlns:r="http://schemas.openxmlformats.org/officeDocument/2006/relationships" r:id="rId16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58" customWidth="1" min="3" max="3"/>
    <col width="9" customWidth="1" min="4" max="4"/>
    <col width="26" customWidth="1" min="5" max="5"/>
    <col width="12" customWidth="1" min="6" max="6"/>
    <col width="34" customWidth="1" min="7" max="7"/>
    <col width="30" customWidth="1" min="8" max="8"/>
    <col width="42" customWidth="1" min="9" max="9"/>
    <col width="35" customWidth="1" min="10" max="10"/>
    <col width="40" customWidth="1" min="11" max="11"/>
    <col width="30" customWidth="1" min="12" max="12"/>
    <col width="26" customWidth="1" min="13" max="13"/>
    <col width="42" customWidth="1" min="14" max="14"/>
    <col width="42" customWidth="1" min="15" max="15"/>
    <col width="42" customWidth="1" min="16" max="16"/>
    <col width="14" customWidth="1" min="17" max="17"/>
    <col width="14" customWidth="1" min="18" max="18"/>
    <col width="30" customWidth="1" min="19" max="19"/>
    <col width="18" customWidth="1" min="20" max="20"/>
    <col width="16" customWidth="1" min="21" max="21"/>
    <col width="15" customWidth="1" min="22" max="22"/>
    <col width="16" customWidth="1" min="23" max="23"/>
    <col width="48" customWidth="1" min="24" max="24"/>
  </cols>
  <sheetData>
    <row r="1" ht="34" customHeight="1">
      <c r="A1" s="4" t="inlineStr">
        <is>
          <t>Record_ID</t>
        </is>
      </c>
      <c r="B1" s="4" t="inlineStr">
        <is>
          <t>Original_Zotero_Key</t>
        </is>
      </c>
      <c r="C1" s="4" t="inlineStr">
        <is>
          <t>Title</t>
        </is>
      </c>
      <c r="D1" s="4" t="inlineStr">
        <is>
          <t>Year</t>
        </is>
      </c>
      <c r="E1" s="4" t="inlineStr">
        <is>
          <t>Resource_Type</t>
        </is>
      </c>
      <c r="F1" s="4" t="inlineStr">
        <is>
          <t>Scope_Tier</t>
        </is>
      </c>
      <c r="G1" s="4" t="inlineStr">
        <is>
          <t>Primary_Category</t>
        </is>
      </c>
      <c r="H1" s="4" t="inlineStr">
        <is>
          <t>System_Class</t>
        </is>
      </c>
      <c r="I1" s="4" t="inlineStr">
        <is>
          <t>Benchmark_Tasks</t>
        </is>
      </c>
      <c r="J1" s="4" t="inlineStr">
        <is>
          <t>Models_Evaluated</t>
        </is>
      </c>
      <c r="K1" s="4" t="inlineStr">
        <is>
          <t>Key_Metrics</t>
        </is>
      </c>
      <c r="L1" s="4" t="inlineStr">
        <is>
          <t>Reference_Baseline</t>
        </is>
      </c>
      <c r="M1" s="4" t="inlineStr">
        <is>
          <t>DOI</t>
        </is>
      </c>
      <c r="N1" s="4" t="inlineStr">
        <is>
          <t>URL</t>
        </is>
      </c>
      <c r="O1" s="4" t="inlineStr">
        <is>
          <t>Code_URL</t>
        </is>
      </c>
      <c r="P1" s="4" t="inlineStr">
        <is>
          <t>Data_URL</t>
        </is>
      </c>
      <c r="Q1" s="4" t="inlineStr">
        <is>
          <t>Peer_Reviewed</t>
        </is>
      </c>
      <c r="R1" s="4" t="inlineStr">
        <is>
          <t>Open_Source</t>
        </is>
      </c>
      <c r="S1" s="4" t="inlineStr">
        <is>
          <t>Source_Status</t>
        </is>
      </c>
      <c r="T1" s="4" t="inlineStr">
        <is>
          <t>Curation_Confidence</t>
        </is>
      </c>
      <c r="U1" s="4" t="inlineStr">
        <is>
          <t>Last_Verified</t>
        </is>
      </c>
      <c r="V1" s="4" t="inlineStr">
        <is>
          <t>In_Current_CSV</t>
        </is>
      </c>
      <c r="W1" s="4" t="inlineStr">
        <is>
          <t>README_Priority</t>
        </is>
      </c>
      <c r="X1" s="4" t="inlineStr">
        <is>
          <t>Notes</t>
        </is>
      </c>
    </row>
    <row r="2">
      <c r="A2" s="5" t="inlineStr">
        <is>
          <t>N004</t>
        </is>
      </c>
      <c r="B2" s="5" t="inlineStr"/>
      <c r="C2" s="5" t="inlineStr">
        <is>
          <t>Benchmarking Universal Machine Learning Interatomic Potentials for Alkali-Ion Battery Kinetics</t>
        </is>
      </c>
      <c r="D2" s="5" t="inlineStr">
        <is>
          <t>2026</t>
        </is>
      </c>
      <c r="E2" s="5" t="inlineStr">
        <is>
          <t>Core benchmark study</t>
        </is>
      </c>
      <c r="F2" s="5" t="inlineStr">
        <is>
          <t>Core</t>
        </is>
      </c>
      <c r="G2" s="5" t="inlineStr">
        <is>
          <t>Batteries, diffusion and ion transport</t>
        </is>
      </c>
      <c r="H2" s="5" t="inlineStr">
        <is>
          <t>Alkali-ion cathodes and solid electrolytes</t>
        </is>
      </c>
      <c r="I2" s="5" t="inlineStr">
        <is>
          <t>Migration barriers; finite-temperature diffusion; structural correlations</t>
        </is>
      </c>
      <c r="J2" s="5" t="inlineStr">
        <is>
          <t>M3GNet; CHGNet; MatterSim; MACE; SevenNet; GRACE; Orb</t>
        </is>
      </c>
      <c r="K2" s="5" t="inlineStr">
        <is>
          <t>Barrier error; diffusivity; diffusion activation behavior</t>
        </is>
      </c>
      <c r="L2" s="5" t="inlineStr">
        <is>
          <t>DFT / AIMD</t>
        </is>
      </c>
      <c r="M2" s="6" t="inlineStr">
        <is>
          <t>10.1021/acsmaterialslett.6c00134</t>
        </is>
      </c>
      <c r="N2" s="7" t="inlineStr">
        <is>
          <t>https://doi.org/10.1021/acsmaterialslett.6c00134</t>
        </is>
      </c>
      <c r="O2" s="5" t="inlineStr"/>
      <c r="P2" s="5" t="inlineStr"/>
      <c r="Q2" s="5" t="inlineStr">
        <is>
          <t>Yes</t>
        </is>
      </c>
      <c r="R2" s="5" t="inlineStr">
        <is>
          <t>Unknown</t>
        </is>
      </c>
      <c r="S2" s="8" t="inlineStr">
        <is>
          <t>New literature sweep; web-verified</t>
        </is>
      </c>
      <c r="T2" s="9" t="inlineStr">
        <is>
          <t>A</t>
        </is>
      </c>
      <c r="U2" s="8" t="inlineStr">
        <is>
          <t>2026-09-29</t>
        </is>
      </c>
      <c r="V2" s="5" t="inlineStr">
        <is>
          <t>No</t>
        </is>
      </c>
      <c r="W2" s="5" t="inlineStr">
        <is>
          <t>High</t>
        </is>
      </c>
      <c r="X2" s="5" t="inlineStr">
        <is>
          <t>Combines static barrier and dynamic transport evaluation.</t>
        </is>
      </c>
    </row>
    <row r="3">
      <c r="A3" s="5" t="inlineStr">
        <is>
          <t>N038</t>
        </is>
      </c>
      <c r="B3" s="5" t="inlineStr"/>
      <c r="C3" s="5" t="inlineStr">
        <is>
          <t>Performance-Based Selection of Machine Learning Interatomic Potentials for Studying Solid-State Electrolytes</t>
        </is>
      </c>
      <c r="D3" s="5" t="inlineStr">
        <is>
          <t>2026</t>
        </is>
      </c>
      <c r="E3" s="5" t="inlineStr">
        <is>
          <t>Application benchmark study</t>
        </is>
      </c>
      <c r="F3" s="5" t="inlineStr">
        <is>
          <t>Core</t>
        </is>
      </c>
      <c r="G3" s="5" t="inlineStr">
        <is>
          <t>Batteries, diffusion and ion transport</t>
        </is>
      </c>
      <c r="H3" s="5" t="inlineStr">
        <is>
          <t>Li6PS5Cl solid-state electrolyte</t>
        </is>
      </c>
      <c r="I3" s="5" t="inlineStr">
        <is>
          <t>Structural; energetic; dynamic properties; disorder and transport</t>
        </is>
      </c>
      <c r="J3" s="5" t="inlineStr">
        <is>
          <t>Several pretrained MLIPs</t>
        </is>
      </c>
      <c r="K3" s="5" t="inlineStr">
        <is>
          <t>Structure/energy errors; dynamic behavior; Li transport</t>
        </is>
      </c>
      <c r="L3" s="5" t="inlineStr">
        <is>
          <t>DFT</t>
        </is>
      </c>
      <c r="M3" s="6" t="inlineStr">
        <is>
          <t>10.1021/acs.chemmater.5c02352</t>
        </is>
      </c>
      <c r="N3" s="7" t="inlineStr">
        <is>
          <t>https://doi.org/10.1021/acs.chemmater.5c02352</t>
        </is>
      </c>
      <c r="O3" s="5" t="inlineStr"/>
      <c r="P3" s="5" t="inlineStr"/>
      <c r="Q3" s="5" t="inlineStr">
        <is>
          <t>Yes</t>
        </is>
      </c>
      <c r="R3" s="5" t="inlineStr">
        <is>
          <t>Unknown</t>
        </is>
      </c>
      <c r="S3" s="8" t="inlineStr">
        <is>
          <t>New literature sweep; web-verified</t>
        </is>
      </c>
      <c r="T3" s="9" t="inlineStr">
        <is>
          <t>A</t>
        </is>
      </c>
      <c r="U3" s="8" t="inlineStr">
        <is>
          <t>2026-09-29</t>
        </is>
      </c>
      <c r="V3" s="5" t="inlineStr">
        <is>
          <t>No</t>
        </is>
      </c>
      <c r="W3" s="5" t="inlineStr">
        <is>
          <t>High</t>
        </is>
      </c>
      <c r="X3" s="5" t="inlineStr">
        <is>
          <t>Highlights energy-force consistency and subtle configurational generalization.</t>
        </is>
      </c>
    </row>
    <row r="4">
      <c r="A4" s="5" t="inlineStr">
        <is>
          <t>N001</t>
        </is>
      </c>
      <c r="B4" s="5" t="inlineStr"/>
      <c r="C4" s="5" t="inlineStr">
        <is>
          <t>Structural benchmarks overlook density-of-states errors in machine-learned interatomic potentials</t>
        </is>
      </c>
      <c r="D4" s="5" t="inlineStr">
        <is>
          <t>2026</t>
        </is>
      </c>
      <c r="E4" s="5" t="inlineStr">
        <is>
          <t>Core benchmark study</t>
        </is>
      </c>
      <c r="F4" s="5" t="inlineStr">
        <is>
          <t>Core</t>
        </is>
      </c>
      <c r="G4" s="5" t="inlineStr">
        <is>
          <t>Downstream electronic properties</t>
        </is>
      </c>
      <c r="H4" s="5" t="inlineStr">
        <is>
          <t>Inorganic solids: oxides, iodides, alloys</t>
        </is>
      </c>
      <c r="I4" s="5" t="inlineStr">
        <is>
          <t>Structure relaxation; electronic DOS downstream validation</t>
        </is>
      </c>
      <c r="J4" s="5" t="inlineStr">
        <is>
          <t>Multiple universal MLIPs</t>
        </is>
      </c>
      <c r="K4" s="5" t="inlineStr">
        <is>
          <t>Structural error; DOS similarity/error; downstream electronic-property fidelity</t>
        </is>
      </c>
      <c r="L4" s="5" t="inlineStr">
        <is>
          <t>DFT</t>
        </is>
      </c>
      <c r="M4" s="6" t="inlineStr">
        <is>
          <t>10.1063/5.0339982</t>
        </is>
      </c>
      <c r="N4" s="7" t="inlineStr">
        <is>
          <t>https://doi.org/10.1063/5.0339982</t>
        </is>
      </c>
      <c r="O4" s="7" t="inlineStr">
        <is>
          <t>https://github.com/entropy4energy/2026-mlip-dos-benchmark</t>
        </is>
      </c>
      <c r="P4" s="7" t="inlineStr">
        <is>
          <t>https://doi.org/10.1063/5.0339982</t>
        </is>
      </c>
      <c r="Q4" s="5" t="inlineStr">
        <is>
          <t>Yes</t>
        </is>
      </c>
      <c r="R4" s="5" t="inlineStr">
        <is>
          <t>Yes</t>
        </is>
      </c>
      <c r="S4" s="8" t="inlineStr">
        <is>
          <t>New literature sweep; web-verified</t>
        </is>
      </c>
      <c r="T4" s="9" t="inlineStr">
        <is>
          <t>A</t>
        </is>
      </c>
      <c r="U4" s="8" t="inlineStr">
        <is>
          <t>2026-09-29</t>
        </is>
      </c>
      <c r="V4" s="5" t="inlineStr">
        <is>
          <t>No</t>
        </is>
      </c>
      <c r="W4" s="5" t="inlineStr">
        <is>
          <t>High</t>
        </is>
      </c>
      <c r="X4" s="5" t="inlineStr">
        <is>
          <t>Published 2026-09-23; demonstrates that structural agreement does not guarantee DOS fidelity.</t>
        </is>
      </c>
    </row>
    <row r="5">
      <c r="A5" s="5" t="inlineStr">
        <is>
          <t>N002</t>
        </is>
      </c>
      <c r="B5" s="5" t="inlineStr"/>
      <c r="C5" s="5" t="inlineStr">
        <is>
          <t>Benchmarking Machine-Learning Interatomic Potentials for Dynamical Stability in Inorganic Semiconductor Nanocrystals: A CdSe Case Study</t>
        </is>
      </c>
      <c r="D5" s="5" t="inlineStr">
        <is>
          <t>2026</t>
        </is>
      </c>
      <c r="E5" s="5" t="inlineStr">
        <is>
          <t>Core benchmark study</t>
        </is>
      </c>
      <c r="F5" s="5" t="inlineStr">
        <is>
          <t>Core</t>
        </is>
      </c>
      <c r="G5" s="5" t="inlineStr">
        <is>
          <t>Dynamics and finite temperature</t>
        </is>
      </c>
      <c r="H5" s="5" t="inlineStr">
        <is>
          <t>CdSe nanocrystals</t>
        </is>
      </c>
      <c r="I5" s="5" t="inlineStr">
        <is>
          <t>Long-time MD stability; uncertainty-guided active learning; runtime</t>
        </is>
      </c>
      <c r="J5" s="5" t="inlineStr">
        <is>
          <t>Five GNN MLIPs</t>
        </is>
      </c>
      <c r="K5" s="5" t="inlineStr">
        <is>
          <t>1 ns survival/stability; force error; uncertainty; runtime</t>
        </is>
      </c>
      <c r="L5" s="5" t="inlineStr">
        <is>
          <t>DFT / reference trajectories</t>
        </is>
      </c>
      <c r="M5" s="5" t="inlineStr"/>
      <c r="N5" s="7" t="inlineStr">
        <is>
          <t>https://arxiv.org/abs/2609.15299</t>
        </is>
      </c>
      <c r="O5" s="5" t="inlineStr"/>
      <c r="P5" s="5" t="inlineStr"/>
      <c r="Q5" s="5" t="inlineStr">
        <is>
          <t>No</t>
        </is>
      </c>
      <c r="R5" s="5" t="inlineStr">
        <is>
          <t>Unknown</t>
        </is>
      </c>
      <c r="S5" s="8" t="inlineStr">
        <is>
          <t>New literature sweep; web-verified</t>
        </is>
      </c>
      <c r="T5" s="9" t="inlineStr">
        <is>
          <t>A</t>
        </is>
      </c>
      <c r="U5" s="8" t="inlineStr">
        <is>
          <t>2026-09-29</t>
        </is>
      </c>
      <c r="V5" s="5" t="inlineStr">
        <is>
          <t>No</t>
        </is>
      </c>
      <c r="W5" s="5" t="inlineStr">
        <is>
          <t>High</t>
        </is>
      </c>
      <c r="X5" s="5" t="inlineStr">
        <is>
          <t>Submitted 2026-09-14; finite, surface-dominated nanocrystal stress test.</t>
        </is>
      </c>
    </row>
    <row r="6">
      <c r="A6" s="5" t="inlineStr">
        <is>
          <t>N031</t>
        </is>
      </c>
      <c r="B6" s="5" t="inlineStr"/>
      <c r="C6" s="5" t="inlineStr">
        <is>
          <t>MeltBench</t>
        </is>
      </c>
      <c r="D6" s="5" t="inlineStr">
        <is>
          <t>2026</t>
        </is>
      </c>
      <c r="E6" s="5" t="inlineStr">
        <is>
          <t>Benchmark suite/platform</t>
        </is>
      </c>
      <c r="F6" s="5" t="inlineStr">
        <is>
          <t>Core</t>
        </is>
      </c>
      <c r="G6" s="5" t="inlineStr">
        <is>
          <t>Dynamics and finite temperature</t>
        </is>
      </c>
      <c r="H6" s="5" t="inlineStr">
        <is>
          <t>Crystalline materials / melting</t>
        </is>
      </c>
      <c r="I6" s="5" t="inlineStr">
        <is>
          <t>Melting-point prediction with MLIPs</t>
        </is>
      </c>
      <c r="J6" s="5" t="inlineStr">
        <is>
          <t>Universal MLIPs</t>
        </is>
      </c>
      <c r="K6" s="5" t="inlineStr">
        <is>
          <t>Melting temperature; failure/stability; computational cost</t>
        </is>
      </c>
      <c r="L6" s="5" t="inlineStr">
        <is>
          <t>Experiment / reference simulations</t>
        </is>
      </c>
      <c r="M6" s="5" t="inlineStr"/>
      <c r="N6" s="7" t="inlineStr">
        <is>
          <t>https://jobs.sluschi-mapp.org/meltbench</t>
        </is>
      </c>
      <c r="O6" s="5" t="inlineStr"/>
      <c r="P6" s="5" t="inlineStr"/>
      <c r="Q6" s="5" t="inlineStr">
        <is>
          <t>No</t>
        </is>
      </c>
      <c r="R6" s="5" t="inlineStr">
        <is>
          <t>Unknown</t>
        </is>
      </c>
      <c r="S6" s="8" t="inlineStr">
        <is>
          <t>New literature sweep; web-verified</t>
        </is>
      </c>
      <c r="T6" s="9" t="inlineStr">
        <is>
          <t>A</t>
        </is>
      </c>
      <c r="U6" s="8" t="inlineStr">
        <is>
          <t>2026-09-29</t>
        </is>
      </c>
      <c r="V6" s="5" t="inlineStr">
        <is>
          <t>No</t>
        </is>
      </c>
      <c r="W6" s="5" t="inlineStr">
        <is>
          <t>High</t>
        </is>
      </c>
      <c r="X6" s="5" t="inlineStr">
        <is>
          <t>Open benchmark resource with MeltBench-10 and expansion toward larger suites.</t>
        </is>
      </c>
    </row>
    <row r="7">
      <c r="A7" s="5" t="inlineStr">
        <is>
          <t>N008</t>
        </is>
      </c>
      <c r="B7" s="5" t="inlineStr"/>
      <c r="C7" s="5" t="inlineStr">
        <is>
          <t>Origin of the machine learning forces field errors across metal elements</t>
        </is>
      </c>
      <c r="D7" s="5" t="inlineStr">
        <is>
          <t>2026</t>
        </is>
      </c>
      <c r="E7" s="5" t="inlineStr">
        <is>
          <t>Core benchmark study</t>
        </is>
      </c>
      <c r="F7" s="5" t="inlineStr">
        <is>
          <t>Core</t>
        </is>
      </c>
      <c r="G7" s="5" t="inlineStr">
        <is>
          <t>General and foundation MLIP evaluation</t>
        </is>
      </c>
      <c r="H7" s="5" t="inlineStr">
        <is>
          <t>43 metallic elements (Metal-43)</t>
        </is>
      </c>
      <c r="I7" s="5" t="inlineStr">
        <is>
          <t>Element-wise fitting difficulty; PES complexity</t>
        </is>
      </c>
      <c r="J7" s="5" t="inlineStr">
        <is>
          <t>NEP; DeePMD; MACE; ORB</t>
        </is>
      </c>
      <c r="K7" s="5" t="inlineStr">
        <is>
          <t>Force RMSE; relative force error; periodic trends</t>
        </is>
      </c>
      <c r="L7" s="5" t="inlineStr">
        <is>
          <t>DFT</t>
        </is>
      </c>
      <c r="M7" s="6" t="inlineStr">
        <is>
          <t>10.1038/s41524-026-01977-3</t>
        </is>
      </c>
      <c r="N7" s="7" t="inlineStr">
        <is>
          <t>https://doi.org/10.1038/s41524-026-01977-3</t>
        </is>
      </c>
      <c r="O7" s="5" t="inlineStr"/>
      <c r="P7" s="5" t="inlineStr"/>
      <c r="Q7" s="5" t="inlineStr">
        <is>
          <t>Yes</t>
        </is>
      </c>
      <c r="R7" s="5" t="inlineStr">
        <is>
          <t>Unknown</t>
        </is>
      </c>
      <c r="S7" s="8" t="inlineStr">
        <is>
          <t>New literature sweep; web-verified</t>
        </is>
      </c>
      <c r="T7" s="9" t="inlineStr">
        <is>
          <t>A</t>
        </is>
      </c>
      <c r="U7" s="8" t="inlineStr">
        <is>
          <t>2026-09-29</t>
        </is>
      </c>
      <c r="V7" s="5" t="inlineStr">
        <is>
          <t>No</t>
        </is>
      </c>
      <c r="W7" s="5" t="inlineStr">
        <is>
          <t>High</t>
        </is>
      </c>
      <c r="X7" s="5" t="inlineStr">
        <is>
          <t>Metal-43 exposes strongly element-dependent intrinsic fitting difficulty.</t>
        </is>
      </c>
    </row>
    <row r="8">
      <c r="A8" s="5" t="inlineStr">
        <is>
          <t>N003</t>
        </is>
      </c>
      <c r="B8" s="5" t="inlineStr"/>
      <c r="C8" s="5" t="inlineStr">
        <is>
          <t>Vibrational power spectra as a tool to benchmark universal machine-learning interatomic potentials for molecular systems: the OMOL-1k-MD data set</t>
        </is>
      </c>
      <c r="D8" s="5" t="inlineStr">
        <is>
          <t>2026</t>
        </is>
      </c>
      <c r="E8" s="5" t="inlineStr">
        <is>
          <t>Benchmark dataset + study</t>
        </is>
      </c>
      <c r="F8" s="5" t="inlineStr">
        <is>
          <t>Core</t>
        </is>
      </c>
      <c r="G8" s="5" t="inlineStr">
        <is>
          <t>Phonons, vibrations and thermal</t>
        </is>
      </c>
      <c r="H8" s="5" t="inlineStr">
        <is>
          <t>Molecules and molecular clusters</t>
        </is>
      </c>
      <c r="I8" s="5" t="inlineStr">
        <is>
          <t>Finite-temperature AIMD; vibrational power spectra; vibrational free energy</t>
        </is>
      </c>
      <c r="J8" s="5" t="inlineStr">
        <is>
          <t>Universal MLIPs</t>
        </is>
      </c>
      <c r="K8" s="5" t="inlineStr">
        <is>
          <t>Vibrational spectrum similarity; free-energy error; trajectory fidelity</t>
        </is>
      </c>
      <c r="L8" s="5" t="inlineStr">
        <is>
          <t>DFT AIMD</t>
        </is>
      </c>
      <c r="M8" s="6" t="inlineStr">
        <is>
          <t>10.1038/s41524-026-02286-5</t>
        </is>
      </c>
      <c r="N8" s="7" t="inlineStr">
        <is>
          <t>https://doi.org/10.1038/s41524-026-02286-5</t>
        </is>
      </c>
      <c r="O8" s="5" t="inlineStr"/>
      <c r="P8" s="7" t="inlineStr">
        <is>
          <t>https://huggingface.co/datasets/JSteffen91/OMOL-1k-MD</t>
        </is>
      </c>
      <c r="Q8" s="5" t="inlineStr">
        <is>
          <t>Yes</t>
        </is>
      </c>
      <c r="R8" s="5" t="inlineStr">
        <is>
          <t>Yes</t>
        </is>
      </c>
      <c r="S8" s="8" t="inlineStr">
        <is>
          <t>New literature sweep; web-verified</t>
        </is>
      </c>
      <c r="T8" s="9" t="inlineStr">
        <is>
          <t>A</t>
        </is>
      </c>
      <c r="U8" s="8" t="inlineStr">
        <is>
          <t>2026-09-29</t>
        </is>
      </c>
      <c r="V8" s="5" t="inlineStr">
        <is>
          <t>No</t>
        </is>
      </c>
      <c r="W8" s="5" t="inlineStr">
        <is>
          <t>High</t>
        </is>
      </c>
      <c r="X8" s="5" t="inlineStr">
        <is>
          <t>1000 systems and roughly 30 million AIMD structures.</t>
        </is>
      </c>
    </row>
    <row r="9">
      <c r="A9" s="5" t="inlineStr">
        <is>
          <t>N010</t>
        </is>
      </c>
      <c r="B9" s="5" t="inlineStr"/>
      <c r="C9" s="5" t="inlineStr">
        <is>
          <t>Benchmarking machine-learned potentials for adsorption on Pt and IrO2 surfaces using OC20 and OMat24</t>
        </is>
      </c>
      <c r="D9" s="5" t="inlineStr">
        <is>
          <t>2026</t>
        </is>
      </c>
      <c r="E9" s="5" t="inlineStr">
        <is>
          <t>Application benchmark study</t>
        </is>
      </c>
      <c r="F9" s="5" t="inlineStr">
        <is>
          <t>Core</t>
        </is>
      </c>
      <c r="G9" s="5" t="inlineStr">
        <is>
          <t>Surfaces, interfaces and catalysis</t>
        </is>
      </c>
      <c r="H9" s="5" t="inlineStr">
        <is>
          <t>Pt and IrO2 surfaces</t>
        </is>
      </c>
      <c r="I9" s="5" t="inlineStr">
        <is>
          <t>Adsorption energies; water-splitting intermediates</t>
        </is>
      </c>
      <c r="J9" s="5" t="inlineStr">
        <is>
          <t>UMA-OC20; UMA-OMat24</t>
        </is>
      </c>
      <c r="K9" s="5" t="inlineStr">
        <is>
          <t>Adsorption-energy error</t>
        </is>
      </c>
      <c r="L9" s="5" t="inlineStr">
        <is>
          <t>Matched DFT flavors</t>
        </is>
      </c>
      <c r="M9" s="6" t="inlineStr">
        <is>
          <t>10.1007/s44371-026-00865-5</t>
        </is>
      </c>
      <c r="N9" s="7" t="inlineStr">
        <is>
          <t>https://doi.org/10.1007/s44371-026-00865-5</t>
        </is>
      </c>
      <c r="O9" s="5" t="inlineStr"/>
      <c r="P9" s="5" t="inlineStr"/>
      <c r="Q9" s="5" t="inlineStr">
        <is>
          <t>Yes</t>
        </is>
      </c>
      <c r="R9" s="5" t="inlineStr">
        <is>
          <t>Unknown</t>
        </is>
      </c>
      <c r="S9" s="8" t="inlineStr">
        <is>
          <t>New literature sweep; web-verified</t>
        </is>
      </c>
      <c r="T9" s="9" t="inlineStr">
        <is>
          <t>A</t>
        </is>
      </c>
      <c r="U9" s="8" t="inlineStr">
        <is>
          <t>2026-09-29</t>
        </is>
      </c>
      <c r="V9" s="5" t="inlineStr">
        <is>
          <t>No</t>
        </is>
      </c>
      <c r="W9" s="5" t="inlineStr">
        <is>
          <t>High</t>
        </is>
      </c>
      <c r="X9" s="5" t="inlineStr">
        <is>
          <t>Separates dataset/DFT-flavor effects for surface adsorption.</t>
        </is>
      </c>
    </row>
    <row r="10">
      <c r="A10" s="5" t="inlineStr">
        <is>
          <t>N041</t>
        </is>
      </c>
      <c r="B10" s="5" t="inlineStr"/>
      <c r="C10" s="5" t="inlineStr">
        <is>
          <t>MLIPAudit: A benchmarking tool for Machine Learned Interatomic Potentials</t>
        </is>
      </c>
      <c r="D10" s="5" t="inlineStr">
        <is>
          <t>2025</t>
        </is>
      </c>
      <c r="E10" s="5" t="inlineStr">
        <is>
          <t>Benchmark suite/platform</t>
        </is>
      </c>
      <c r="F10" s="5" t="inlineStr">
        <is>
          <t>Core</t>
        </is>
      </c>
      <c r="G10" s="5" t="inlineStr">
        <is>
          <t>Benchmark suites and platforms</t>
        </is>
      </c>
      <c r="H10" s="5" t="inlineStr">
        <is>
          <t>Small organics, molecular liquids, proteins and flexible peptides</t>
        </is>
      </c>
      <c r="I10" s="5" t="inlineStr">
        <is>
          <t>Modular downstream benchmark suite; CLI/GUI; public leaderboard; scaling</t>
        </is>
      </c>
      <c r="J10" s="5" t="inlineStr">
        <is>
          <t>UMA-Small; MACE-OFF; MACE-MP and additional models</t>
        </is>
      </c>
      <c r="K10" s="5" t="inlineStr">
        <is>
          <t>Per-benchmark 0-1 scores; task metrics; scaling/runtime</t>
        </is>
      </c>
      <c r="L10" s="5" t="inlineStr">
        <is>
          <t>Reference quantum/experimental data</t>
        </is>
      </c>
      <c r="M10" s="5" t="inlineStr"/>
      <c r="N10" s="7" t="inlineStr">
        <is>
          <t>https://arxiv.org/abs/2511.20487</t>
        </is>
      </c>
      <c r="O10" s="7" t="inlineStr">
        <is>
          <t>https://github.com/instadeepai/mlipaudit</t>
        </is>
      </c>
      <c r="P10" s="7" t="inlineStr">
        <is>
          <t>https://huggingface.co/spaces/InstaDeepAI/mlipaudit-leaderboard</t>
        </is>
      </c>
      <c r="Q10" s="5" t="inlineStr">
        <is>
          <t>No</t>
        </is>
      </c>
      <c r="R10" s="5" t="inlineStr">
        <is>
          <t>Yes</t>
        </is>
      </c>
      <c r="S10" s="8" t="inlineStr">
        <is>
          <t>New literature sweep; web-verified</t>
        </is>
      </c>
      <c r="T10" s="9" t="inlineStr">
        <is>
          <t>A</t>
        </is>
      </c>
      <c r="U10" s="8" t="inlineStr">
        <is>
          <t>2026-09-29</t>
        </is>
      </c>
      <c r="V10" s="5" t="inlineStr">
        <is>
          <t>No</t>
        </is>
      </c>
      <c r="W10" s="5" t="inlineStr">
        <is>
          <t>High</t>
        </is>
      </c>
      <c r="X10" s="5" t="inlineStr">
        <is>
          <t>Open Apache-2.0 benchmark library with reusable ASE-compatible pipeline and continuously updated leaderboard.</t>
        </is>
      </c>
    </row>
    <row r="11">
      <c r="A11" s="5" t="inlineStr">
        <is>
          <t>N032</t>
        </is>
      </c>
      <c r="B11" s="5" t="inlineStr"/>
      <c r="C11" s="5" t="inlineStr">
        <is>
          <t>MatCalc</t>
        </is>
      </c>
      <c r="D11" s="5" t="inlineStr">
        <is>
          <t>2025</t>
        </is>
      </c>
      <c r="E11" s="5" t="inlineStr">
        <is>
          <t>Benchmark suite/platform</t>
        </is>
      </c>
      <c r="F11" s="5" t="inlineStr">
        <is>
          <t>Core</t>
        </is>
      </c>
      <c r="G11" s="5" t="inlineStr">
        <is>
          <t>Benchmark suites and platforms</t>
        </is>
      </c>
      <c r="H11" s="5" t="inlineStr">
        <is>
          <t>Inorganic materials</t>
        </is>
      </c>
      <c r="I11" s="5" t="inlineStr">
        <is>
          <t>Property calculation and standardized elasticity/phonon benchmarks</t>
        </is>
      </c>
      <c r="J11" s="5" t="inlineStr">
        <is>
          <t>Multiple foundation potentials</t>
        </is>
      </c>
      <c r="K11" s="5" t="inlineStr">
        <is>
          <t>Elasticity and phonon benchmark metrics</t>
        </is>
      </c>
      <c r="L11" s="5" t="inlineStr">
        <is>
          <t>DFT/reference property data</t>
        </is>
      </c>
      <c r="M11" s="5" t="inlineStr"/>
      <c r="N11" s="7" t="inlineStr">
        <is>
          <t>https://matcalc.ai/</t>
        </is>
      </c>
      <c r="O11" s="5" t="inlineStr"/>
      <c r="P11" s="5" t="inlineStr"/>
      <c r="Q11" s="5" t="inlineStr">
        <is>
          <t>No</t>
        </is>
      </c>
      <c r="R11" s="5" t="inlineStr">
        <is>
          <t>Unknown</t>
        </is>
      </c>
      <c r="S11" s="8" t="inlineStr">
        <is>
          <t>New literature sweep; web-verified</t>
        </is>
      </c>
      <c r="T11" s="9" t="inlineStr">
        <is>
          <t>A</t>
        </is>
      </c>
      <c r="U11" s="8" t="inlineStr">
        <is>
          <t>2026-09-29</t>
        </is>
      </c>
      <c r="V11" s="5" t="inlineStr">
        <is>
          <t>No</t>
        </is>
      </c>
      <c r="W11" s="5" t="inlineStr">
        <is>
          <t>High</t>
        </is>
      </c>
      <c r="X11" s="5" t="inlineStr">
        <is>
          <t>Python framework released with MatPES; exposes reusable BenchmarkSuite APIs.</t>
        </is>
      </c>
    </row>
    <row r="12">
      <c r="A12" s="5" t="inlineStr">
        <is>
          <t>N009</t>
        </is>
      </c>
      <c r="B12" s="5" t="inlineStr"/>
      <c r="C12" s="5" t="inlineStr">
        <is>
          <t>Screening of Material Defects using Universal Machine-Learning Interatomic Potentials</t>
        </is>
      </c>
      <c r="D12" s="5" t="inlineStr">
        <is>
          <t>2025</t>
        </is>
      </c>
      <c r="E12" s="5" t="inlineStr">
        <is>
          <t>Application benchmark study</t>
        </is>
      </c>
      <c r="F12" s="5" t="inlineStr">
        <is>
          <t>Core</t>
        </is>
      </c>
      <c r="G12" s="5" t="inlineStr">
        <is>
          <t>Defects, disorder and dimensionality</t>
        </is>
      </c>
      <c r="H12" s="5" t="inlineStr">
        <is>
          <t>Materials Project crystals and 2D materials</t>
        </is>
      </c>
      <c r="I12" s="5" t="inlineStr">
        <is>
          <t>Vacancy formation; defective-material screening; simulated etching</t>
        </is>
      </c>
      <c r="J12" s="5" t="inlineStr">
        <is>
          <t>Universal MLIPs</t>
        </is>
      </c>
      <c r="K12" s="5" t="inlineStr">
        <is>
          <t>Vacancy formation-energy error; hull/stability screening</t>
        </is>
      </c>
      <c r="L12" s="5" t="inlineStr">
        <is>
          <t>DFT</t>
        </is>
      </c>
      <c r="M12" s="6" t="inlineStr">
        <is>
          <t>10.1002/smll.202503956</t>
        </is>
      </c>
      <c r="N12" s="7" t="inlineStr">
        <is>
          <t>https://doi.org/10.1002/smll.202503956</t>
        </is>
      </c>
      <c r="O12" s="5" t="inlineStr"/>
      <c r="P12" s="5" t="inlineStr"/>
      <c r="Q12" s="5" t="inlineStr">
        <is>
          <t>Yes</t>
        </is>
      </c>
      <c r="R12" s="5" t="inlineStr">
        <is>
          <t>Unknown</t>
        </is>
      </c>
      <c r="S12" s="8" t="inlineStr">
        <is>
          <t>New literature sweep; web-verified</t>
        </is>
      </c>
      <c r="T12" s="9" t="inlineStr">
        <is>
          <t>A</t>
        </is>
      </c>
      <c r="U12" s="8" t="inlineStr">
        <is>
          <t>2026-09-29</t>
        </is>
      </c>
      <c r="V12" s="5" t="inlineStr">
        <is>
          <t>No</t>
        </is>
      </c>
      <c r="W12" s="5" t="inlineStr">
        <is>
          <t>High</t>
        </is>
      </c>
      <c r="X12" s="5" t="inlineStr">
        <is>
          <t>Includes vacancy calculations for 86,259 materials.</t>
        </is>
      </c>
    </row>
    <row r="13">
      <c r="A13" s="5" t="inlineStr">
        <is>
          <t>N006</t>
        </is>
      </c>
      <c r="B13" s="5" t="inlineStr"/>
      <c r="C13" s="5" t="inlineStr">
        <is>
          <t>Universal Machine Learning Potential for Systems with Reduced Dimensionality</t>
        </is>
      </c>
      <c r="D13" s="5" t="inlineStr">
        <is>
          <t>2025</t>
        </is>
      </c>
      <c r="E13" s="5" t="inlineStr">
        <is>
          <t>Core benchmark study</t>
        </is>
      </c>
      <c r="F13" s="5" t="inlineStr">
        <is>
          <t>Core</t>
        </is>
      </c>
      <c r="G13" s="5" t="inlineStr">
        <is>
          <t>Defects, disorder and dimensionality</t>
        </is>
      </c>
      <c r="H13" s="5" t="inlineStr">
        <is>
          <t>0D, 1D, 2D and 3D systems</t>
        </is>
      </c>
      <c r="I13" s="5" t="inlineStr">
        <is>
          <t>Cross-dimensional transferability; structure/energy/force evaluation</t>
        </is>
      </c>
      <c r="J13" s="5" t="inlineStr">
        <is>
          <t>Universal MLIPs</t>
        </is>
      </c>
      <c r="K13" s="5" t="inlineStr">
        <is>
          <t>Energy/force errors; structural/property transfer</t>
        </is>
      </c>
      <c r="L13" s="5" t="inlineStr">
        <is>
          <t>DFT</t>
        </is>
      </c>
      <c r="M13" s="5" t="inlineStr"/>
      <c r="N13" s="7" t="inlineStr">
        <is>
          <t>https://arxiv.org/abs/2508.15614</t>
        </is>
      </c>
      <c r="O13" s="5" t="inlineStr"/>
      <c r="P13" s="5" t="inlineStr"/>
      <c r="Q13" s="5" t="inlineStr">
        <is>
          <t>No</t>
        </is>
      </c>
      <c r="R13" s="5" t="inlineStr">
        <is>
          <t>Unknown</t>
        </is>
      </c>
      <c r="S13" s="8" t="inlineStr">
        <is>
          <t>New literature sweep; web-verified</t>
        </is>
      </c>
      <c r="T13" s="9" t="inlineStr">
        <is>
          <t>A</t>
        </is>
      </c>
      <c r="U13" s="8" t="inlineStr">
        <is>
          <t>2026-09-29</t>
        </is>
      </c>
      <c r="V13" s="5" t="inlineStr">
        <is>
          <t>No</t>
        </is>
      </c>
      <c r="W13" s="5" t="inlineStr">
        <is>
          <t>High</t>
        </is>
      </c>
      <c r="X13" s="5" t="inlineStr">
        <is>
          <t>Highlights dimensionality as a distribution-shift axis.</t>
        </is>
      </c>
    </row>
    <row r="14">
      <c r="A14" s="5" t="inlineStr">
        <is>
          <t>N007</t>
        </is>
      </c>
      <c r="B14" s="5" t="inlineStr"/>
      <c r="C14" s="5" t="inlineStr">
        <is>
          <t>Universal machine learning interatomic potentials poised to supplant DFT in modeling general defects in metals and random alloys</t>
        </is>
      </c>
      <c r="D14" s="5" t="inlineStr">
        <is>
          <t>2025</t>
        </is>
      </c>
      <c r="E14" s="5" t="inlineStr">
        <is>
          <t>Core benchmark study</t>
        </is>
      </c>
      <c r="F14" s="5" t="inlineStr">
        <is>
          <t>Core</t>
        </is>
      </c>
      <c r="G14" s="5" t="inlineStr">
        <is>
          <t>Defects, disorder and dimensionality</t>
        </is>
      </c>
      <c r="H14" s="5" t="inlineStr">
        <is>
          <t>Metals and random alloys</t>
        </is>
      </c>
      <c r="I14" s="5" t="inlineStr">
        <is>
          <t>Point defects; grain boundaries; random alloys; H-alloy interactions; UQ; efficiency</t>
        </is>
      </c>
      <c r="J14" s="5" t="inlineStr">
        <is>
          <t>Universal MLIPs</t>
        </is>
      </c>
      <c r="K14" s="5" t="inlineStr">
        <is>
          <t>Defect energies; structural errors; uncertainty correlation; speed</t>
        </is>
      </c>
      <c r="L14" s="5" t="inlineStr">
        <is>
          <t>DFT</t>
        </is>
      </c>
      <c r="M14" s="6" t="inlineStr">
        <is>
          <t>10.1088/2632-2153/adea2d</t>
        </is>
      </c>
      <c r="N14" s="7" t="inlineStr">
        <is>
          <t>https://doi.org/10.1088/2632-2153/adea2d</t>
        </is>
      </c>
      <c r="O14" s="5" t="inlineStr"/>
      <c r="P14" s="5" t="inlineStr"/>
      <c r="Q14" s="5" t="inlineStr">
        <is>
          <t>Yes</t>
        </is>
      </c>
      <c r="R14" s="5" t="inlineStr">
        <is>
          <t>Unknown</t>
        </is>
      </c>
      <c r="S14" s="8" t="inlineStr">
        <is>
          <t>New literature sweep; web-verified</t>
        </is>
      </c>
      <c r="T14" s="9" t="inlineStr">
        <is>
          <t>A</t>
        </is>
      </c>
      <c r="U14" s="8" t="inlineStr">
        <is>
          <t>2026-09-29</t>
        </is>
      </c>
      <c r="V14" s="5" t="inlineStr">
        <is>
          <t>No</t>
        </is>
      </c>
      <c r="W14" s="5" t="inlineStr">
        <is>
          <t>High</t>
        </is>
      </c>
      <c r="X14" s="5" t="inlineStr">
        <is>
          <t>Broad defect-oriented validation in metals and alloys.</t>
        </is>
      </c>
    </row>
    <row r="15">
      <c r="A15" s="5" t="inlineStr">
        <is>
          <t>N013</t>
        </is>
      </c>
      <c r="B15" s="5" t="inlineStr"/>
      <c r="C15" s="5" t="inlineStr">
        <is>
          <t>Crash testing machine learning force fields for molecules, materials, and interfaces: model analysis in the TEA Challenge 2023</t>
        </is>
      </c>
      <c r="D15" s="5" t="inlineStr">
        <is>
          <t>2025</t>
        </is>
      </c>
      <c r="E15" s="5" t="inlineStr">
        <is>
          <t>Benchmark suite + study</t>
        </is>
      </c>
      <c r="F15" s="5" t="inlineStr">
        <is>
          <t>Core</t>
        </is>
      </c>
      <c r="G15" s="5" t="inlineStr">
        <is>
          <t>Dynamics and finite temperature</t>
        </is>
      </c>
      <c r="H15" s="5" t="inlineStr">
        <is>
          <t>Molecules, materials and interfaces</t>
        </is>
      </c>
      <c r="I15" s="5" t="inlineStr">
        <is>
          <t>Common-data MLFF training; MD stability; incomplete data; multicomponent/periodic systems</t>
        </is>
      </c>
      <c r="J15" s="5" t="inlineStr">
        <is>
          <t>MACE; SO3krates; sGDML; SOAP/GAP; FCHL19*</t>
        </is>
      </c>
      <c r="K15" s="5" t="inlineStr">
        <is>
          <t>Accuracy; MD stability; efficiency; task-specific observables</t>
        </is>
      </c>
      <c r="L15" s="5" t="inlineStr">
        <is>
          <t>DFT / experiment</t>
        </is>
      </c>
      <c r="M15" s="6" t="inlineStr">
        <is>
          <t>10.1039/D4SC06530A</t>
        </is>
      </c>
      <c r="N15" s="7" t="inlineStr">
        <is>
          <t>https://doi.org/10.1039/D4SC06530A</t>
        </is>
      </c>
      <c r="O15" s="5" t="inlineStr"/>
      <c r="P15" s="7" t="inlineStr">
        <is>
          <t>https://doi.org/10.5281/zenodo.10414029</t>
        </is>
      </c>
      <c r="Q15" s="5" t="inlineStr">
        <is>
          <t>Yes</t>
        </is>
      </c>
      <c r="R15" s="5" t="inlineStr">
        <is>
          <t>Yes</t>
        </is>
      </c>
      <c r="S15" s="8" t="inlineStr">
        <is>
          <t>New literature sweep; web-verified</t>
        </is>
      </c>
      <c r="T15" s="9" t="inlineStr">
        <is>
          <t>A</t>
        </is>
      </c>
      <c r="U15" s="8" t="inlineStr">
        <is>
          <t>2026-09-29</t>
        </is>
      </c>
      <c r="V15" s="5" t="inlineStr">
        <is>
          <t>No</t>
        </is>
      </c>
      <c r="W15" s="5" t="inlineStr">
        <is>
          <t>High</t>
        </is>
      </c>
      <c r="X15" s="5" t="inlineStr">
        <is>
          <t>TEA Challenge 2023 provides same-condition cross-architecture crash tests.</t>
        </is>
      </c>
    </row>
    <row r="16">
      <c r="A16" s="5" t="inlineStr">
        <is>
          <t>N005</t>
        </is>
      </c>
      <c r="B16" s="5" t="inlineStr"/>
      <c r="C16" s="5" t="inlineStr">
        <is>
          <t>Benchmarking Universal Machine Learning Interatomic Potentials for Elastic Property Prediction</t>
        </is>
      </c>
      <c r="D16" s="5" t="inlineStr">
        <is>
          <t>2025</t>
        </is>
      </c>
      <c r="E16" s="5" t="inlineStr">
        <is>
          <t>Core benchmark study</t>
        </is>
      </c>
      <c r="F16" s="5" t="inlineStr">
        <is>
          <t>Core</t>
        </is>
      </c>
      <c r="G16" s="5" t="inlineStr">
        <is>
          <t>Mechanical and elastic properties</t>
        </is>
      </c>
      <c r="H16" s="5" t="inlineStr">
        <is>
          <t>Nearly 11,000 inorganic materials</t>
        </is>
      </c>
      <c r="I16" s="5" t="inlineStr">
        <is>
          <t>Elastic tensors/moduli; relaxation; targeted fine-tuning</t>
        </is>
      </c>
      <c r="J16" s="5" t="inlineStr">
        <is>
          <t>MatterSim; MACE; SevenNet; CHGNet</t>
        </is>
      </c>
      <c r="K16" s="5" t="inlineStr">
        <is>
          <t>Elastic-property errors; stability/failure; fine-tuning gains</t>
        </is>
      </c>
      <c r="L16" s="5" t="inlineStr">
        <is>
          <t>DFT</t>
        </is>
      </c>
      <c r="M16" s="5" t="inlineStr"/>
      <c r="N16" s="7" t="inlineStr">
        <is>
          <t>https://arxiv.org/abs/2510.22999</t>
        </is>
      </c>
      <c r="O16" s="5" t="inlineStr"/>
      <c r="P16" s="5" t="inlineStr"/>
      <c r="Q16" s="5" t="inlineStr">
        <is>
          <t>No</t>
        </is>
      </c>
      <c r="R16" s="5" t="inlineStr">
        <is>
          <t>Unknown</t>
        </is>
      </c>
      <c r="S16" s="8" t="inlineStr">
        <is>
          <t>New literature sweep; web-verified</t>
        </is>
      </c>
      <c r="T16" s="9" t="inlineStr">
        <is>
          <t>A</t>
        </is>
      </c>
      <c r="U16" s="8" t="inlineStr">
        <is>
          <t>2026-09-29</t>
        </is>
      </c>
      <c r="V16" s="5" t="inlineStr">
        <is>
          <t>No</t>
        </is>
      </c>
      <c r="W16" s="5" t="inlineStr">
        <is>
          <t>High</t>
        </is>
      </c>
      <c r="X16" s="5" t="inlineStr">
        <is>
          <t>Large-scale elastic-property benchmark; manuscript revised in 2026.</t>
        </is>
      </c>
    </row>
    <row r="17">
      <c r="A17" s="5" t="inlineStr">
        <is>
          <t>N036</t>
        </is>
      </c>
      <c r="B17" s="5" t="inlineStr"/>
      <c r="C17" s="5" t="inlineStr">
        <is>
          <t>Benchmarking Universal Machine Learning Force Fields with Hydrogen-Bonding Cooperativity</t>
        </is>
      </c>
      <c r="D17" s="5" t="inlineStr">
        <is>
          <t>2025</t>
        </is>
      </c>
      <c r="E17" s="5" t="inlineStr">
        <is>
          <t>Core benchmark study</t>
        </is>
      </c>
      <c r="F17" s="5" t="inlineStr">
        <is>
          <t>Core</t>
        </is>
      </c>
      <c r="G17" s="5" t="inlineStr">
        <is>
          <t>Molecules, reactions and chemical kinetics</t>
        </is>
      </c>
      <c r="H17" s="5" t="inlineStr">
        <is>
          <t>N-methylacetamide H-bonded chains</t>
        </is>
      </c>
      <c r="I17" s="5" t="inlineStr">
        <is>
          <t>Many-body cooperativity / induction / dispersion</t>
        </is>
      </c>
      <c r="J17" s="5" t="inlineStr">
        <is>
          <t>ANI; MACE-OFF; Orb</t>
        </is>
      </c>
      <c r="K17" s="5" t="inlineStr">
        <is>
          <t>Hydrogen-bond cooperativity relative to QM</t>
        </is>
      </c>
      <c r="L17" s="5" t="inlineStr">
        <is>
          <t>Quantum chemistry</t>
        </is>
      </c>
      <c r="M17" s="6" t="inlineStr">
        <is>
          <t>10.4208/cicc.2025.90.02</t>
        </is>
      </c>
      <c r="N17" s="7" t="inlineStr">
        <is>
          <t>https://doi.org/10.4208/cicc.2025.90.02</t>
        </is>
      </c>
      <c r="O17" s="5" t="inlineStr"/>
      <c r="P17" s="5" t="inlineStr"/>
      <c r="Q17" s="5" t="inlineStr">
        <is>
          <t>Yes</t>
        </is>
      </c>
      <c r="R17" s="5" t="inlineStr">
        <is>
          <t>Unknown</t>
        </is>
      </c>
      <c r="S17" s="8" t="inlineStr">
        <is>
          <t>New literature sweep; web-verified</t>
        </is>
      </c>
      <c r="T17" s="9" t="inlineStr">
        <is>
          <t>A</t>
        </is>
      </c>
      <c r="U17" s="8" t="inlineStr">
        <is>
          <t>2026-09-29</t>
        </is>
      </c>
      <c r="V17" s="5" t="inlineStr">
        <is>
          <t>No</t>
        </is>
      </c>
      <c r="W17" s="5" t="inlineStr">
        <is>
          <t>High</t>
        </is>
      </c>
      <c r="X17" s="5" t="inlineStr">
        <is>
          <t>Probes cooperative many-body physics that standard molecular test errors can miss.</t>
        </is>
      </c>
    </row>
    <row r="18">
      <c r="A18" s="5" t="inlineStr">
        <is>
          <t>N037</t>
        </is>
      </c>
      <c r="B18" s="5" t="inlineStr"/>
      <c r="C18" s="5" t="inlineStr">
        <is>
          <t>Machine learning potentials for alloys: a detailed workflow to predict phase diagrams and benchmark accuracy</t>
        </is>
      </c>
      <c r="D18" s="5" t="inlineStr">
        <is>
          <t>2025</t>
        </is>
      </c>
      <c r="E18" s="5" t="inlineStr">
        <is>
          <t>Application benchmark study</t>
        </is>
      </c>
      <c r="F18" s="5" t="inlineStr">
        <is>
          <t>Core</t>
        </is>
      </c>
      <c r="G18" s="5" t="inlineStr">
        <is>
          <t>Thermodynamics and phase diagrams</t>
        </is>
      </c>
      <c r="H18" s="5" t="inlineStr">
        <is>
          <t>Binary and multicomponent alloys</t>
        </is>
      </c>
      <c r="I18" s="5" t="inlineStr">
        <is>
          <t>Phase-diagram prediction; CALPHAD integration; phase classification</t>
        </is>
      </c>
      <c r="J18" s="5" t="inlineStr">
        <is>
          <t>GRACE; SevenNet; CHGNet and others</t>
        </is>
      </c>
      <c r="K18" s="5" t="inlineStr">
        <is>
          <t>Accuracy; precision; recall; F1 of phase regions; topology agreement</t>
        </is>
      </c>
      <c r="L18" s="5" t="inlineStr">
        <is>
          <t>VASP / CALPHAD</t>
        </is>
      </c>
      <c r="M18" s="6" t="inlineStr">
        <is>
          <t>10.1038/s41524-025-01814-z</t>
        </is>
      </c>
      <c r="N18" s="7" t="inlineStr">
        <is>
          <t>https://doi.org/10.1038/s41524-025-01814-z</t>
        </is>
      </c>
      <c r="O18" s="5" t="inlineStr"/>
      <c r="P18" s="5" t="inlineStr"/>
      <c r="Q18" s="5" t="inlineStr">
        <is>
          <t>Yes</t>
        </is>
      </c>
      <c r="R18" s="5" t="inlineStr">
        <is>
          <t>Unknown</t>
        </is>
      </c>
      <c r="S18" s="8" t="inlineStr">
        <is>
          <t>New literature sweep; web-verified</t>
        </is>
      </c>
      <c r="T18" s="9" t="inlineStr">
        <is>
          <t>A</t>
        </is>
      </c>
      <c r="U18" s="8" t="inlineStr">
        <is>
          <t>2026-09-29</t>
        </is>
      </c>
      <c r="V18" s="5" t="inlineStr">
        <is>
          <t>No</t>
        </is>
      </c>
      <c r="W18" s="5" t="inlineStr">
        <is>
          <t>High</t>
        </is>
      </c>
      <c r="X18" s="5" t="inlineStr">
        <is>
          <t>PhaseForge turns phase-diagram topology into an application-level MLIP benchmark.</t>
        </is>
      </c>
    </row>
    <row r="19">
      <c r="A19" s="5" t="inlineStr">
        <is>
          <t>N015</t>
        </is>
      </c>
      <c r="B19" s="5" t="inlineStr"/>
      <c r="C19" s="5" t="inlineStr">
        <is>
          <t>Efficiency, accuracy, and transferability of machine learning potentials: Application to dislocations and cracks in iron</t>
        </is>
      </c>
      <c r="D19" s="5" t="inlineStr">
        <is>
          <t>2024</t>
        </is>
      </c>
      <c r="E19" s="5" t="inlineStr">
        <is>
          <t>Core benchmark study</t>
        </is>
      </c>
      <c r="F19" s="5" t="inlineStr">
        <is>
          <t>Core</t>
        </is>
      </c>
      <c r="G19" s="5" t="inlineStr">
        <is>
          <t>Defects, disorder and dimensionality</t>
        </is>
      </c>
      <c r="H19" s="5" t="inlineStr">
        <is>
          <t>BCC iron</t>
        </is>
      </c>
      <c r="I19" s="5" t="inlineStr">
        <is>
          <t>Dislocations; cracks; fracture; uncertainty; efficiency</t>
        </is>
      </c>
      <c r="J19" s="5" t="inlineStr">
        <is>
          <t>Four MLIP packages</t>
        </is>
      </c>
      <c r="K19" s="5" t="inlineStr">
        <is>
          <t>RMSE; property error Q; Peierls barrier; traction-separation; KIc; speed</t>
        </is>
      </c>
      <c r="L19" s="5" t="inlineStr">
        <is>
          <t>DFT</t>
        </is>
      </c>
      <c r="M19" s="6" t="inlineStr">
        <is>
          <t>10.1016/j.actamat.2024.119788</t>
        </is>
      </c>
      <c r="N19" s="7" t="inlineStr">
        <is>
          <t>https://doi.org/10.1016/j.actamat.2024.119788</t>
        </is>
      </c>
      <c r="O19" s="7" t="inlineStr">
        <is>
          <t>https://github.com/leiapple/Potential_benchmark_iron</t>
        </is>
      </c>
      <c r="P19" s="5" t="inlineStr"/>
      <c r="Q19" s="5" t="inlineStr">
        <is>
          <t>Yes</t>
        </is>
      </c>
      <c r="R19" s="5" t="inlineStr">
        <is>
          <t>Yes</t>
        </is>
      </c>
      <c r="S19" s="8" t="inlineStr">
        <is>
          <t>New literature sweep; web-verified</t>
        </is>
      </c>
      <c r="T19" s="9" t="inlineStr">
        <is>
          <t>A</t>
        </is>
      </c>
      <c r="U19" s="8" t="inlineStr">
        <is>
          <t>2026-09-29</t>
        </is>
      </c>
      <c r="V19" s="5" t="inlineStr">
        <is>
          <t>No</t>
        </is>
      </c>
      <c r="W19" s="5" t="inlineStr">
        <is>
          <t>High</t>
        </is>
      </c>
      <c r="X19" s="5" t="inlineStr">
        <is>
          <t>Three-stage validation from test error to defect transferability.</t>
        </is>
      </c>
    </row>
    <row r="20">
      <c r="A20" s="5" t="inlineStr">
        <is>
          <t>N023</t>
        </is>
      </c>
      <c r="B20" s="5" t="inlineStr"/>
      <c r="C20" s="5" t="inlineStr">
        <is>
          <t>Complexity of many-body interactions in transition metals via machine-learned force fields from the TM23 data set</t>
        </is>
      </c>
      <c r="D20" s="5" t="inlineStr">
        <is>
          <t>2024</t>
        </is>
      </c>
      <c r="E20" s="5" t="inlineStr">
        <is>
          <t>Benchmark dataset + study</t>
        </is>
      </c>
      <c r="F20" s="5" t="inlineStr">
        <is>
          <t>Core</t>
        </is>
      </c>
      <c r="G20" s="5" t="inlineStr">
        <is>
          <t>Foundation datasets and model ecosystems</t>
        </is>
      </c>
      <c r="H20" s="5" t="inlineStr">
        <is>
          <t>Transition metals</t>
        </is>
      </c>
      <c r="I20" s="5" t="inlineStr">
        <is>
          <t>Element-wise force-field learnability; many-body complexity</t>
        </is>
      </c>
      <c r="J20" s="5" t="inlineStr">
        <is>
          <t>Multiple MLFF architectures</t>
        </is>
      </c>
      <c r="K20" s="5" t="inlineStr">
        <is>
          <t>Energy/force errors; complexity trends</t>
        </is>
      </c>
      <c r="L20" s="5" t="inlineStr">
        <is>
          <t>DFT</t>
        </is>
      </c>
      <c r="M20" s="6" t="inlineStr">
        <is>
          <t>10.1038/s41524-024-01264-z</t>
        </is>
      </c>
      <c r="N20" s="7" t="inlineStr">
        <is>
          <t>https://doi.org/10.1038/s41524-024-01264-z</t>
        </is>
      </c>
      <c r="O20" s="5" t="inlineStr"/>
      <c r="P20" s="5" t="inlineStr"/>
      <c r="Q20" s="5" t="inlineStr">
        <is>
          <t>Yes</t>
        </is>
      </c>
      <c r="R20" s="5" t="inlineStr">
        <is>
          <t>Unknown</t>
        </is>
      </c>
      <c r="S20" s="8" t="inlineStr">
        <is>
          <t>New literature sweep; web-verified</t>
        </is>
      </c>
      <c r="T20" s="9" t="inlineStr">
        <is>
          <t>A</t>
        </is>
      </c>
      <c r="U20" s="8" t="inlineStr">
        <is>
          <t>2026-09-29</t>
        </is>
      </c>
      <c r="V20" s="5" t="inlineStr">
        <is>
          <t>No</t>
        </is>
      </c>
      <c r="W20" s="5" t="inlineStr">
        <is>
          <t>High</t>
        </is>
      </c>
      <c r="X20" s="5" t="inlineStr">
        <is>
          <t>TM23 is a widely used elemental-transition-metal stress test.</t>
        </is>
      </c>
    </row>
    <row r="21">
      <c r="A21" s="5" t="inlineStr">
        <is>
          <t>N012</t>
        </is>
      </c>
      <c r="B21" s="5" t="inlineStr"/>
      <c r="C21" s="5" t="inlineStr">
        <is>
          <t>Benchmarking phonon anharmonicity in machine learning interatomic potentials</t>
        </is>
      </c>
      <c r="D21" s="5" t="inlineStr">
        <is>
          <t>2024</t>
        </is>
      </c>
      <c r="E21" s="5" t="inlineStr">
        <is>
          <t>Core benchmark study</t>
        </is>
      </c>
      <c r="F21" s="5" t="inlineStr">
        <is>
          <t>Core</t>
        </is>
      </c>
      <c r="G21" s="5" t="inlineStr">
        <is>
          <t>Phonons, vibrations and thermal</t>
        </is>
      </c>
      <c r="H21" s="5" t="inlineStr">
        <is>
          <t>ThO2</t>
        </is>
      </c>
      <c r="I21" s="5" t="inlineStr">
        <is>
          <t>Anharmonic force constants; phonon interactions; thermal conductivity</t>
        </is>
      </c>
      <c r="J21" s="5" t="inlineStr">
        <is>
          <t>GAP; ANN; GNN</t>
        </is>
      </c>
      <c r="K21" s="5" t="inlineStr">
        <is>
          <t>Phonon linewidths; line shifts; thermal conductivity; higher-order agreement</t>
        </is>
      </c>
      <c r="L21" s="5" t="inlineStr">
        <is>
          <t>DFT</t>
        </is>
      </c>
      <c r="M21" s="5" t="inlineStr"/>
      <c r="N21" s="7" t="inlineStr">
        <is>
          <t>https://arxiv.org/abs/2402.18891</t>
        </is>
      </c>
      <c r="O21" s="5" t="inlineStr"/>
      <c r="P21" s="5" t="inlineStr"/>
      <c r="Q21" s="5" t="inlineStr">
        <is>
          <t>No</t>
        </is>
      </c>
      <c r="R21" s="5" t="inlineStr">
        <is>
          <t>Unknown</t>
        </is>
      </c>
      <c r="S21" s="8" t="inlineStr">
        <is>
          <t>New literature sweep; web-verified</t>
        </is>
      </c>
      <c r="T21" s="9" t="inlineStr">
        <is>
          <t>A</t>
        </is>
      </c>
      <c r="U21" s="8" t="inlineStr">
        <is>
          <t>2026-09-29</t>
        </is>
      </c>
      <c r="V21" s="5" t="inlineStr">
        <is>
          <t>No</t>
        </is>
      </c>
      <c r="W21" s="5" t="inlineStr">
        <is>
          <t>High</t>
        </is>
      </c>
      <c r="X21" s="5" t="inlineStr">
        <is>
          <t>Explicitly probes anharmonic rather than only harmonic phonons.</t>
        </is>
      </c>
    </row>
    <row r="22">
      <c r="A22" s="5" t="inlineStr">
        <is>
          <t>N014</t>
        </is>
      </c>
      <c r="B22" s="5" t="inlineStr"/>
      <c r="C22" s="5" t="inlineStr">
        <is>
          <t>Benchmarking of machine learning interatomic potentials for reactive hydrogen dynamics at metal surfaces</t>
        </is>
      </c>
      <c r="D22" s="5" t="inlineStr">
        <is>
          <t>2024</t>
        </is>
      </c>
      <c r="E22" s="5" t="inlineStr">
        <is>
          <t>Core benchmark study</t>
        </is>
      </c>
      <c r="F22" s="5" t="inlineStr">
        <is>
          <t>Core</t>
        </is>
      </c>
      <c r="G22" s="5" t="inlineStr">
        <is>
          <t>Surfaces, interfaces and catalysis</t>
        </is>
      </c>
      <c r="H22" s="5" t="inlineStr">
        <is>
          <t>H2 scattering on Cu surfaces</t>
        </is>
      </c>
      <c r="I22" s="5" t="inlineStr">
        <is>
          <t>Reactive gas-surface dynamics; sticking probabilities; CPU throughput</t>
        </is>
      </c>
      <c r="J22" s="5" t="inlineStr">
        <is>
          <t>PaiNN; REANN; MACE; ACE</t>
        </is>
      </c>
      <c r="K22" s="5" t="inlineStr">
        <is>
          <t>Energy/force accuracy; time-to-solution; reaction/sticking probabilities</t>
        </is>
      </c>
      <c r="L22" s="5" t="inlineStr">
        <is>
          <t>DFT / dynamical observables</t>
        </is>
      </c>
      <c r="M22" s="6" t="inlineStr">
        <is>
          <t>10.1088/2632-2153/ad5f11</t>
        </is>
      </c>
      <c r="N22" s="7" t="inlineStr">
        <is>
          <t>https://doi.org/10.1088/2632-2153/ad5f11</t>
        </is>
      </c>
      <c r="O22" s="5" t="inlineStr"/>
      <c r="P22" s="5" t="inlineStr"/>
      <c r="Q22" s="5" t="inlineStr">
        <is>
          <t>Yes</t>
        </is>
      </c>
      <c r="R22" s="5" t="inlineStr">
        <is>
          <t>Unknown</t>
        </is>
      </c>
      <c r="S22" s="8" t="inlineStr">
        <is>
          <t>New literature sweep; web-verified</t>
        </is>
      </c>
      <c r="T22" s="9" t="inlineStr">
        <is>
          <t>A</t>
        </is>
      </c>
      <c r="U22" s="8" t="inlineStr">
        <is>
          <t>2026-09-29</t>
        </is>
      </c>
      <c r="V22" s="5" t="inlineStr">
        <is>
          <t>No</t>
        </is>
      </c>
      <c r="W22" s="5" t="inlineStr">
        <is>
          <t>High</t>
        </is>
      </c>
      <c r="X22" s="5" t="inlineStr">
        <is>
          <t>Application benchmark couples accuracy to reactive trajectory observables.</t>
        </is>
      </c>
    </row>
    <row r="23">
      <c r="A23" s="5" t="inlineStr">
        <is>
          <t>N027</t>
        </is>
      </c>
      <c r="B23" s="5" t="inlineStr"/>
      <c r="C23" s="5" t="inlineStr">
        <is>
          <t>COMP6: A comprehensive benchmark suite for machine learning potentials</t>
        </is>
      </c>
      <c r="D23" s="5" t="inlineStr">
        <is>
          <t>2018</t>
        </is>
      </c>
      <c r="E23" s="5" t="inlineStr">
        <is>
          <t>Benchmark suite + study</t>
        </is>
      </c>
      <c r="F23" s="5" t="inlineStr">
        <is>
          <t>Core</t>
        </is>
      </c>
      <c r="G23" s="5" t="inlineStr">
        <is>
          <t>Molecules, reactions and chemical kinetics</t>
        </is>
      </c>
      <c r="H23" s="5" t="inlineStr">
        <is>
          <t>Diverse organic molecules and conformers</t>
        </is>
      </c>
      <c r="I23" s="5" t="inlineStr">
        <is>
          <t>Transferability across molecular datasets and conformers</t>
        </is>
      </c>
      <c r="J23" s="5" t="inlineStr">
        <is>
          <t>ANI family and molecular ML potentials</t>
        </is>
      </c>
      <c r="K23" s="5" t="inlineStr">
        <is>
          <t>Energy errors across benchmark subsets</t>
        </is>
      </c>
      <c r="L23" s="5" t="inlineStr">
        <is>
          <t>Quantum chemistry</t>
        </is>
      </c>
      <c r="M23" s="6" t="inlineStr">
        <is>
          <t>10.1063/1.5023802</t>
        </is>
      </c>
      <c r="N23" s="7" t="inlineStr">
        <is>
          <t>https://doi.org/10.1063/1.5023802</t>
        </is>
      </c>
      <c r="O23" s="7" t="inlineStr">
        <is>
          <t>https://github.com/isayev/COMP6</t>
        </is>
      </c>
      <c r="P23" s="5" t="inlineStr"/>
      <c r="Q23" s="5" t="inlineStr">
        <is>
          <t>Yes</t>
        </is>
      </c>
      <c r="R23" s="5" t="inlineStr">
        <is>
          <t>Yes</t>
        </is>
      </c>
      <c r="S23" s="8" t="inlineStr">
        <is>
          <t>New literature sweep; web-verified</t>
        </is>
      </c>
      <c r="T23" s="9" t="inlineStr">
        <is>
          <t>A</t>
        </is>
      </c>
      <c r="U23" s="8" t="inlineStr">
        <is>
          <t>2026-09-29</t>
        </is>
      </c>
      <c r="V23" s="5" t="inlineStr">
        <is>
          <t>No</t>
        </is>
      </c>
      <c r="W23" s="5" t="inlineStr">
        <is>
          <t>High</t>
        </is>
      </c>
      <c r="X23" s="5" t="inlineStr">
        <is>
          <t>Classic cross-domain molecular-potential benchmark suite.</t>
        </is>
      </c>
    </row>
    <row r="24">
      <c r="A24" s="5" t="inlineStr">
        <is>
          <t>N017</t>
        </is>
      </c>
      <c r="B24" s="5" t="inlineStr"/>
      <c r="C24" s="5" t="inlineStr">
        <is>
          <t>The Open Materials 2024 (OMat24) inorganic materials dataset and models</t>
        </is>
      </c>
      <c r="D24" s="5" t="inlineStr">
        <is>
          <t>2026</t>
        </is>
      </c>
      <c r="E24" s="5" t="inlineStr">
        <is>
          <t>Benchmark-supporting dataset</t>
        </is>
      </c>
      <c r="F24" s="5" t="inlineStr">
        <is>
          <t>Supporting</t>
        </is>
      </c>
      <c r="G24" s="5" t="inlineStr">
        <is>
          <t>Foundation datasets and model ecosystems</t>
        </is>
      </c>
      <c r="H24" s="5" t="inlineStr">
        <is>
          <t>Inorganic materials across periodic table</t>
        </is>
      </c>
      <c r="I24" s="5" t="inlineStr">
        <is>
          <t>Non-equilibrium PES training; model evaluation; discovery/phonon/thermal downstream tests</t>
        </is>
      </c>
      <c r="J24" s="5" t="inlineStr">
        <is>
          <t>EquiformerV2/UMA family and baselines</t>
        </is>
      </c>
      <c r="K24" s="5" t="inlineStr">
        <is>
          <t>E/F/S errors; Matbench Discovery; softening; downstream properties</t>
        </is>
      </c>
      <c r="L24" s="5" t="inlineStr">
        <is>
          <t>DFT</t>
        </is>
      </c>
      <c r="M24" s="6" t="inlineStr">
        <is>
          <t>10.1038/s43588-026-00996-w</t>
        </is>
      </c>
      <c r="N24" s="7" t="inlineStr">
        <is>
          <t>https://doi.org/10.1038/s43588-026-00996-w</t>
        </is>
      </c>
      <c r="O24" s="7" t="inlineStr">
        <is>
          <t>https://github.com/FAIR-Chem/fairchem</t>
        </is>
      </c>
      <c r="P24" s="7" t="inlineStr">
        <is>
          <t>https://huggingface.co/datasets/facebook/OMAT24</t>
        </is>
      </c>
      <c r="Q24" s="5" t="inlineStr">
        <is>
          <t>Yes</t>
        </is>
      </c>
      <c r="R24" s="5" t="inlineStr">
        <is>
          <t>Yes</t>
        </is>
      </c>
      <c r="S24" s="8" t="inlineStr">
        <is>
          <t>New literature sweep; web-verified</t>
        </is>
      </c>
      <c r="T24" s="9" t="inlineStr">
        <is>
          <t>A</t>
        </is>
      </c>
      <c r="U24" s="8" t="inlineStr">
        <is>
          <t>2026-09-29</t>
        </is>
      </c>
      <c r="V24" s="5" t="inlineStr">
        <is>
          <t>No</t>
        </is>
      </c>
      <c r="W24" s="5" t="inlineStr">
        <is>
          <t>Medium</t>
        </is>
      </c>
      <c r="X24" s="5" t="inlineStr">
        <is>
          <t>Over 110 million DFT calculations; central foundation-model dataset.</t>
        </is>
      </c>
    </row>
    <row r="25">
      <c r="A25" s="5" t="inlineStr">
        <is>
          <t>N039</t>
        </is>
      </c>
      <c r="B25" s="5" t="inlineStr"/>
      <c r="C25" s="5" t="inlineStr">
        <is>
          <t>Net force analysis of the B3LYP-D3BJ/DZVP subset of the SPICE dataset: A diagnostic tool for machine learning force fields</t>
        </is>
      </c>
      <c r="D25" s="5" t="inlineStr">
        <is>
          <t>2026</t>
        </is>
      </c>
      <c r="E25" s="5" t="inlineStr">
        <is>
          <t>Methodology / dataset diagnostic</t>
        </is>
      </c>
      <c r="F25" s="5" t="inlineStr">
        <is>
          <t>Supporting</t>
        </is>
      </c>
      <c r="G25" s="5" t="inlineStr">
        <is>
          <t>Methodology, reliability and efficiency</t>
        </is>
      </c>
      <c r="H25" s="5" t="inlineStr">
        <is>
          <t>SPICE molecular subset</t>
        </is>
      </c>
      <c r="I25" s="5" t="inlineStr">
        <is>
          <t>Reference-force consistency; size-aware diagnostics</t>
        </is>
      </c>
      <c r="J25" s="5" t="inlineStr">
        <is>
          <t>MLFF benchmark baselines</t>
        </is>
      </c>
      <c r="K25" s="5" t="inlineStr">
        <is>
          <t>Net force; RMSE; size-controlled statistics</t>
        </is>
      </c>
      <c r="L25" s="5" t="inlineStr">
        <is>
          <t>SPICE quantum chemistry</t>
        </is>
      </c>
      <c r="M25" s="6" t="inlineStr">
        <is>
          <t>10.1016/j.jmgm.2026.109522</t>
        </is>
      </c>
      <c r="N25" s="7" t="inlineStr">
        <is>
          <t>https://doi.org/10.1016/j.jmgm.2026.109522</t>
        </is>
      </c>
      <c r="O25" s="5" t="inlineStr"/>
      <c r="P25" s="5" t="inlineStr"/>
      <c r="Q25" s="5" t="inlineStr">
        <is>
          <t>Yes</t>
        </is>
      </c>
      <c r="R25" s="5" t="inlineStr">
        <is>
          <t>Unknown</t>
        </is>
      </c>
      <c r="S25" s="8" t="inlineStr">
        <is>
          <t>New literature sweep; web-verified</t>
        </is>
      </c>
      <c r="T25" s="9" t="inlineStr">
        <is>
          <t>A</t>
        </is>
      </c>
      <c r="U25" s="8" t="inlineStr">
        <is>
          <t>2026-09-29</t>
        </is>
      </c>
      <c r="V25" s="5" t="inlineStr">
        <is>
          <t>No</t>
        </is>
      </c>
      <c r="W25" s="5" t="inlineStr">
        <is>
          <t>Medium</t>
        </is>
      </c>
      <c r="X25" s="5" t="inlineStr">
        <is>
          <t>Dataset-quality diagnostic showing why apparent RMSE gains can be confounded by molecular size.</t>
        </is>
      </c>
    </row>
    <row r="26">
      <c r="A26" s="5" t="inlineStr">
        <is>
          <t>N029</t>
        </is>
      </c>
      <c r="B26" s="5" t="inlineStr"/>
      <c r="C26" s="5" t="inlineStr">
        <is>
          <t>MP-ALOE: an r2SCAN dataset for universal machine learning interatomic potentials</t>
        </is>
      </c>
      <c r="D26" s="5" t="inlineStr">
        <is>
          <t>2025</t>
        </is>
      </c>
      <c r="E26" s="5" t="inlineStr">
        <is>
          <t>Benchmark-supporting dataset</t>
        </is>
      </c>
      <c r="F26" s="5" t="inlineStr">
        <is>
          <t>Supporting</t>
        </is>
      </c>
      <c r="G26" s="5" t="inlineStr">
        <is>
          <t>Foundation datasets and model ecosystems</t>
        </is>
      </c>
      <c r="H26" s="5" t="inlineStr">
        <is>
          <t>Inorganic materials, off-equilibrium</t>
        </is>
      </c>
      <c r="I26" s="5" t="inlineStr">
        <is>
          <t>Active-learning PES data; off-equilibrium force benchmark</t>
        </is>
      </c>
      <c r="J26" s="5" t="inlineStr">
        <is>
          <t>MACE and universal MLIPs</t>
        </is>
      </c>
      <c r="K26" s="5" t="inlineStr">
        <is>
          <t>Energy/force errors; off-equilibrium robustness</t>
        </is>
      </c>
      <c r="L26" s="5" t="inlineStr">
        <is>
          <t>r2SCAN DFT</t>
        </is>
      </c>
      <c r="M26" s="6" t="inlineStr">
        <is>
          <t>10.1038/s41524-025-01834-9</t>
        </is>
      </c>
      <c r="N26" s="7" t="inlineStr">
        <is>
          <t>https://doi.org/10.1038/s41524-025-01834-9</t>
        </is>
      </c>
      <c r="O26" s="7" t="inlineStr">
        <is>
          <t>https://github.com/matthewkuner/MP-ALOE</t>
        </is>
      </c>
      <c r="P26" s="7" t="inlineStr">
        <is>
          <t>https://doi.org/10.6084/m9.figshare.29452190</t>
        </is>
      </c>
      <c r="Q26" s="5" t="inlineStr">
        <is>
          <t>Yes</t>
        </is>
      </c>
      <c r="R26" s="5" t="inlineStr">
        <is>
          <t>Yes</t>
        </is>
      </c>
      <c r="S26" s="8" t="inlineStr">
        <is>
          <t>New literature sweep; web-verified</t>
        </is>
      </c>
      <c r="T26" s="9" t="inlineStr">
        <is>
          <t>A</t>
        </is>
      </c>
      <c r="U26" s="8" t="inlineStr">
        <is>
          <t>2026-09-29</t>
        </is>
      </c>
      <c r="V26" s="5" t="inlineStr">
        <is>
          <t>No</t>
        </is>
      </c>
      <c r="W26" s="5" t="inlineStr">
        <is>
          <t>Medium</t>
        </is>
      </c>
      <c r="X26" s="5" t="inlineStr">
        <is>
          <t>Nearly one million r2SCAN calculations over 89 elements.</t>
        </is>
      </c>
    </row>
    <row r="27">
      <c r="A27" s="5" t="inlineStr">
        <is>
          <t>N019</t>
        </is>
      </c>
      <c r="B27" s="5" t="inlineStr"/>
      <c r="C27" s="5" t="inlineStr">
        <is>
          <t>The Open Catalyst 2025 (OC25) Dataset and Models for Solid-Liquid Interfaces</t>
        </is>
      </c>
      <c r="D27" s="5" t="inlineStr">
        <is>
          <t>2025</t>
        </is>
      </c>
      <c r="E27" s="5" t="inlineStr">
        <is>
          <t>Benchmark-supporting dataset</t>
        </is>
      </c>
      <c r="F27" s="5" t="inlineStr">
        <is>
          <t>Supporting</t>
        </is>
      </c>
      <c r="G27" s="5" t="inlineStr">
        <is>
          <t>Foundation datasets and model ecosystems</t>
        </is>
      </c>
      <c r="H27" s="5" t="inlineStr">
        <is>
          <t>Explicit-solvent solid-liquid interfaces</t>
        </is>
      </c>
      <c r="I27" s="5" t="inlineStr">
        <is>
          <t>Solid-liquid interface PES; solvation; off-equilibrium modeling</t>
        </is>
      </c>
      <c r="J27" s="5" t="inlineStr">
        <is>
          <t>OC25 baseline/foundation models</t>
        </is>
      </c>
      <c r="K27" s="5" t="inlineStr">
        <is>
          <t>Energy; force; solvation-energy errors</t>
        </is>
      </c>
      <c r="L27" s="5" t="inlineStr">
        <is>
          <t>DFT</t>
        </is>
      </c>
      <c r="M27" s="5" t="inlineStr"/>
      <c r="N27" s="7" t="inlineStr">
        <is>
          <t>https://arxiv.org/abs/2509.17862</t>
        </is>
      </c>
      <c r="O27" s="7" t="inlineStr">
        <is>
          <t>https://github.com/FAIR-Chem/fairchem</t>
        </is>
      </c>
      <c r="P27" s="5" t="inlineStr"/>
      <c r="Q27" s="5" t="inlineStr">
        <is>
          <t>No</t>
        </is>
      </c>
      <c r="R27" s="5" t="inlineStr">
        <is>
          <t>Yes</t>
        </is>
      </c>
      <c r="S27" s="8" t="inlineStr">
        <is>
          <t>New literature sweep; web-verified</t>
        </is>
      </c>
      <c r="T27" s="9" t="inlineStr">
        <is>
          <t>A</t>
        </is>
      </c>
      <c r="U27" s="8" t="inlineStr">
        <is>
          <t>2026-09-29</t>
        </is>
      </c>
      <c r="V27" s="5" t="inlineStr">
        <is>
          <t>No</t>
        </is>
      </c>
      <c r="W27" s="5" t="inlineStr">
        <is>
          <t>Medium</t>
        </is>
      </c>
      <c r="X27" s="5" t="inlineStr">
        <is>
          <t>7.8 million calculations across 1.5 million explicit-solvent environments.</t>
        </is>
      </c>
    </row>
    <row r="28">
      <c r="A28" s="5" t="inlineStr">
        <is>
          <t>N018</t>
        </is>
      </c>
      <c r="B28" s="5" t="inlineStr"/>
      <c r="C28" s="5" t="inlineStr">
        <is>
          <t>The Open Molecules 2025 (OMol25) Dataset, Evaluations, and Models</t>
        </is>
      </c>
      <c r="D28" s="5" t="inlineStr">
        <is>
          <t>2025</t>
        </is>
      </c>
      <c r="E28" s="5" t="inlineStr">
        <is>
          <t>Benchmark-supporting dataset</t>
        </is>
      </c>
      <c r="F28" s="5" t="inlineStr">
        <is>
          <t>Supporting</t>
        </is>
      </c>
      <c r="G28" s="5" t="inlineStr">
        <is>
          <t>Foundation datasets and model ecosystems</t>
        </is>
      </c>
      <c r="H28" s="5" t="inlineStr">
        <is>
          <t>Small molecules, biomolecules, metal complexes, electrolytes</t>
        </is>
      </c>
      <c r="I28" s="5" t="inlineStr">
        <is>
          <t>Molecular PES training and broad OOD evaluation</t>
        </is>
      </c>
      <c r="J28" s="5" t="inlineStr">
        <is>
          <t>UMA molecular models and baselines</t>
        </is>
      </c>
      <c r="K28" s="5" t="inlineStr">
        <is>
          <t>Energy/force errors across chemistry splits and downstream evaluations</t>
        </is>
      </c>
      <c r="L28" s="5" t="inlineStr">
        <is>
          <t>omegaB97M-V/def2-TZVPD DFT</t>
        </is>
      </c>
      <c r="M28" s="5" t="inlineStr"/>
      <c r="N28" s="7" t="inlineStr">
        <is>
          <t>https://arxiv.org/abs/2505.08762</t>
        </is>
      </c>
      <c r="O28" s="7" t="inlineStr">
        <is>
          <t>https://github.com/FAIR-Chem/fairchem</t>
        </is>
      </c>
      <c r="P28" s="5" t="inlineStr"/>
      <c r="Q28" s="5" t="inlineStr">
        <is>
          <t>No</t>
        </is>
      </c>
      <c r="R28" s="5" t="inlineStr">
        <is>
          <t>Yes</t>
        </is>
      </c>
      <c r="S28" s="8" t="inlineStr">
        <is>
          <t>New literature sweep; web-verified</t>
        </is>
      </c>
      <c r="T28" s="9" t="inlineStr">
        <is>
          <t>A</t>
        </is>
      </c>
      <c r="U28" s="8" t="inlineStr">
        <is>
          <t>2026-09-29</t>
        </is>
      </c>
      <c r="V28" s="5" t="inlineStr">
        <is>
          <t>No</t>
        </is>
      </c>
      <c r="W28" s="5" t="inlineStr">
        <is>
          <t>Medium</t>
        </is>
      </c>
      <c r="X28" s="5" t="inlineStr">
        <is>
          <t>More than 100 million DFT calculations, 83 elements, systems up to 350 atoms.</t>
        </is>
      </c>
    </row>
    <row r="29">
      <c r="A29" s="5" t="inlineStr">
        <is>
          <t>N034</t>
        </is>
      </c>
      <c r="B29" s="5" t="inlineStr"/>
      <c r="C29" s="5" t="inlineStr">
        <is>
          <t>A foundation model for atomistic materials chemistry</t>
        </is>
      </c>
      <c r="D29" s="5" t="inlineStr">
        <is>
          <t>2025</t>
        </is>
      </c>
      <c r="E29" s="5" t="inlineStr">
        <is>
          <t>Foundation-model validation study</t>
        </is>
      </c>
      <c r="F29" s="5" t="inlineStr">
        <is>
          <t>Supporting</t>
        </is>
      </c>
      <c r="G29" s="5" t="inlineStr">
        <is>
          <t>General and foundation MLIP evaluation</t>
        </is>
      </c>
      <c r="H29" s="5" t="inlineStr">
        <is>
          <t>Solids, liquids, gases, reactions, interfaces, protein</t>
        </is>
      </c>
      <c r="I29" s="5" t="inlineStr">
        <is>
          <t>Broad zero-shot application suite; fine-tuning</t>
        </is>
      </c>
      <c r="J29" s="5" t="inlineStr">
        <is>
          <t>MACE-MP-0</t>
        </is>
      </c>
      <c r="K29" s="5" t="inlineStr">
        <is>
          <t>Application-specific properties; MD stability; fine-tuning data efficiency</t>
        </is>
      </c>
      <c r="L29" s="5" t="inlineStr">
        <is>
          <t>DFT / experiment</t>
        </is>
      </c>
      <c r="M29" s="6" t="inlineStr">
        <is>
          <t>10.1063/5.0297006</t>
        </is>
      </c>
      <c r="N29" s="7" t="inlineStr">
        <is>
          <t>https://doi.org/10.1063/5.0297006</t>
        </is>
      </c>
      <c r="O29" s="7" t="inlineStr">
        <is>
          <t>https://github.com/ACEsuit/mace-mp</t>
        </is>
      </c>
      <c r="P29" s="7" t="inlineStr">
        <is>
          <t>https://github.com/ACEsuit/mace-mp</t>
        </is>
      </c>
      <c r="Q29" s="5" t="inlineStr">
        <is>
          <t>Yes</t>
        </is>
      </c>
      <c r="R29" s="5" t="inlineStr">
        <is>
          <t>Yes</t>
        </is>
      </c>
      <c r="S29" s="8" t="inlineStr">
        <is>
          <t>New literature sweep; web-verified</t>
        </is>
      </c>
      <c r="T29" s="9" t="inlineStr">
        <is>
          <t>A</t>
        </is>
      </c>
      <c r="U29" s="8" t="inlineStr">
        <is>
          <t>2026-09-29</t>
        </is>
      </c>
      <c r="V29" s="5" t="inlineStr">
        <is>
          <t>No</t>
        </is>
      </c>
      <c r="W29" s="5" t="inlineStr">
        <is>
          <t>Medium</t>
        </is>
      </c>
      <c r="X29" s="5" t="inlineStr">
        <is>
          <t>Broad application appendix is a useful de facto stress-test suite, though this is primarily a model paper.</t>
        </is>
      </c>
    </row>
    <row r="30">
      <c r="A30" s="5" t="inlineStr">
        <is>
          <t>N030</t>
        </is>
      </c>
      <c r="B30" s="5" t="inlineStr"/>
      <c r="C30" s="5" t="inlineStr">
        <is>
          <t>Model-free estimation of completeness, uncertainties, and outliers in atomistic machine learning using information theory</t>
        </is>
      </c>
      <c r="D30" s="5" t="inlineStr">
        <is>
          <t>2025</t>
        </is>
      </c>
      <c r="E30" s="5" t="inlineStr">
        <is>
          <t>Methodology / benchmark study</t>
        </is>
      </c>
      <c r="F30" s="5" t="inlineStr">
        <is>
          <t>Supporting</t>
        </is>
      </c>
      <c r="G30" s="5" t="inlineStr">
        <is>
          <t>Methodology, reliability and efficiency</t>
        </is>
      </c>
      <c r="H30" s="5" t="inlineStr">
        <is>
          <t>Molecules, silicon, aluminium, transition metals</t>
        </is>
      </c>
      <c r="I30" s="5" t="inlineStr">
        <is>
          <t>Dataset completeness; OOD/outlier detection; uncertainty</t>
        </is>
      </c>
      <c r="J30" s="5" t="inlineStr">
        <is>
          <t>Model-free QUESTS framework</t>
        </is>
      </c>
      <c r="K30" s="5" t="inlineStr">
        <is>
          <t>Information-theoretic completeness/outlier/UQ metrics</t>
        </is>
      </c>
      <c r="L30" s="5" t="inlineStr">
        <is>
          <t>Reference atomistic datasets</t>
        </is>
      </c>
      <c r="M30" s="6" t="inlineStr">
        <is>
          <t>10.1038/s41467-025-59232-0</t>
        </is>
      </c>
      <c r="N30" s="7" t="inlineStr">
        <is>
          <t>https://doi.org/10.1038/s41467-025-59232-0</t>
        </is>
      </c>
      <c r="O30" s="7" t="inlineStr">
        <is>
          <t>https://github.com/dskoda/quests</t>
        </is>
      </c>
      <c r="P30" s="5" t="inlineStr"/>
      <c r="Q30" s="5" t="inlineStr">
        <is>
          <t>Yes</t>
        </is>
      </c>
      <c r="R30" s="5" t="inlineStr">
        <is>
          <t>Yes</t>
        </is>
      </c>
      <c r="S30" s="8" t="inlineStr">
        <is>
          <t>New literature sweep; web-verified</t>
        </is>
      </c>
      <c r="T30" s="9" t="inlineStr">
        <is>
          <t>A</t>
        </is>
      </c>
      <c r="U30" s="8" t="inlineStr">
        <is>
          <t>2026-09-29</t>
        </is>
      </c>
      <c r="V30" s="5" t="inlineStr">
        <is>
          <t>No</t>
        </is>
      </c>
      <c r="W30" s="5" t="inlineStr">
        <is>
          <t>Medium</t>
        </is>
      </c>
      <c r="X30" s="5" t="inlineStr">
        <is>
          <t>QUESTS evaluates dataset coverage without requiring a trained potential.</t>
        </is>
      </c>
    </row>
    <row r="31">
      <c r="A31" s="5" t="inlineStr">
        <is>
          <t>N040</t>
        </is>
      </c>
      <c r="B31" s="5" t="inlineStr"/>
      <c r="C31" s="5" t="inlineStr">
        <is>
          <t>Towards Fast, Specialized Machine Learning Force Fields: Distilling Foundation Models via Energy Hessians</t>
        </is>
      </c>
      <c r="D31" s="5" t="inlineStr">
        <is>
          <t>2025</t>
        </is>
      </c>
      <c r="E31" s="5" t="inlineStr">
        <is>
          <t>Methodology / benchmark study</t>
        </is>
      </c>
      <c r="F31" s="5" t="inlineStr">
        <is>
          <t>Supporting</t>
        </is>
      </c>
      <c r="G31" s="5" t="inlineStr">
        <is>
          <t>Methodology, reliability and efficiency</t>
        </is>
      </c>
      <c r="H31" s="5" t="inlineStr">
        <is>
          <t>OC20, MD22 and SPICE domains</t>
        </is>
      </c>
      <c r="I31" s="5" t="inlineStr">
        <is>
          <t>Foundation-model distillation; Hessian matching; MD conservation; speed</t>
        </is>
      </c>
      <c r="J31" s="5" t="inlineStr">
        <is>
          <t>Teacher foundation MLFF + compact students</t>
        </is>
      </c>
      <c r="K31" s="5" t="inlineStr">
        <is>
          <t>Accuracy; up to 20x speed; MD energy conservation</t>
        </is>
      </c>
      <c r="L31" s="5" t="inlineStr">
        <is>
          <t>Foundation teacher / reference datasets</t>
        </is>
      </c>
      <c r="M31" s="5" t="inlineStr"/>
      <c r="N31" s="7" t="inlineStr">
        <is>
          <t>https://arxiv.org/abs/2501.09009</t>
        </is>
      </c>
      <c r="O31" s="7" t="inlineStr">
        <is>
          <t>https://github.com/ASK-Berkeley/MLFF-distill</t>
        </is>
      </c>
      <c r="P31" s="5" t="inlineStr"/>
      <c r="Q31" s="5" t="inlineStr">
        <is>
          <t>No</t>
        </is>
      </c>
      <c r="R31" s="5" t="inlineStr">
        <is>
          <t>Yes</t>
        </is>
      </c>
      <c r="S31" s="8" t="inlineStr">
        <is>
          <t>New literature sweep; web-verified</t>
        </is>
      </c>
      <c r="T31" s="9" t="inlineStr">
        <is>
          <t>A</t>
        </is>
      </c>
      <c r="U31" s="8" t="inlineStr">
        <is>
          <t>2026-09-29</t>
        </is>
      </c>
      <c r="V31" s="5" t="inlineStr">
        <is>
          <t>No</t>
        </is>
      </c>
      <c r="W31" s="5" t="inlineStr">
        <is>
          <t>Medium</t>
        </is>
      </c>
      <c r="X31" s="5" t="inlineStr">
        <is>
          <t>ICLR 2025; useful efficiency/physicality benchmark for model compression.</t>
        </is>
      </c>
    </row>
    <row r="32">
      <c r="A32" s="5" t="inlineStr">
        <is>
          <t>N043</t>
        </is>
      </c>
      <c r="B32" s="5" t="inlineStr"/>
      <c r="C32" s="5" t="inlineStr">
        <is>
          <t>Advancing the ColabFit Exchange towards a Web-scale Data Source for Machine Learning Interatomic Potentials</t>
        </is>
      </c>
      <c r="D32" s="5" t="inlineStr">
        <is>
          <t>2024</t>
        </is>
      </c>
      <c r="E32" s="5" t="inlineStr">
        <is>
          <t>Benchmark-supporting data infrastructure</t>
        </is>
      </c>
      <c r="F32" s="5" t="inlineStr">
        <is>
          <t>Supporting</t>
        </is>
      </c>
      <c r="G32" s="5" t="inlineStr">
        <is>
          <t>Foundation datasets and model ecosystems</t>
        </is>
      </c>
      <c r="H32" s="5" t="inlineStr">
        <is>
          <t>Broad atomistic datasets</t>
        </is>
      </c>
      <c r="I32" s="5" t="inlineStr">
        <is>
          <t>Dataset discovery; standardization; exchange for MLIP training and evaluation</t>
        </is>
      </c>
      <c r="J32" s="5" t="inlineStr">
        <is>
          <t>Model-agnostic</t>
        </is>
      </c>
      <c r="K32" s="5" t="inlineStr">
        <is>
          <t>Dataset coverage and metadata quality</t>
        </is>
      </c>
      <c r="L32" s="5" t="inlineStr">
        <is>
          <t>First-principles atomistic datasets</t>
        </is>
      </c>
      <c r="M32" s="5" t="inlineStr"/>
      <c r="N32" s="7" t="inlineStr">
        <is>
          <t>https://openreview.net/forum?id=b8qZpGJIkw</t>
        </is>
      </c>
      <c r="O32" s="5" t="inlineStr"/>
      <c r="P32" s="7" t="inlineStr">
        <is>
          <t>https://colabfit.org/</t>
        </is>
      </c>
      <c r="Q32" s="5" t="inlineStr">
        <is>
          <t>No</t>
        </is>
      </c>
      <c r="R32" s="5" t="inlineStr">
        <is>
          <t>Yes</t>
        </is>
      </c>
      <c r="S32" s="8" t="inlineStr">
        <is>
          <t>New literature sweep; web-verified</t>
        </is>
      </c>
      <c r="T32" s="9" t="inlineStr">
        <is>
          <t>A</t>
        </is>
      </c>
      <c r="U32" s="8" t="inlineStr">
        <is>
          <t>2026-09-29</t>
        </is>
      </c>
      <c r="V32" s="5" t="inlineStr">
        <is>
          <t>No</t>
        </is>
      </c>
      <c r="W32" s="5" t="inlineStr">
        <is>
          <t>Medium</t>
        </is>
      </c>
      <c r="X32" s="5" t="inlineStr">
        <is>
          <t>Supporting infrastructure rather than a direct leaderboard; useful for benchmark dataset discovery and provenance.</t>
        </is>
      </c>
    </row>
    <row r="33">
      <c r="A33" s="5" t="inlineStr">
        <is>
          <t>N025</t>
        </is>
      </c>
      <c r="B33" s="5" t="inlineStr"/>
      <c r="C33" s="5" t="inlineStr">
        <is>
          <t>Expanding the SPICE Dataset with More Molecules and More Conformations</t>
        </is>
      </c>
      <c r="D33" s="5" t="inlineStr">
        <is>
          <t>2024</t>
        </is>
      </c>
      <c r="E33" s="5" t="inlineStr">
        <is>
          <t>Benchmark-supporting dataset</t>
        </is>
      </c>
      <c r="F33" s="5" t="inlineStr">
        <is>
          <t>Supporting</t>
        </is>
      </c>
      <c r="G33" s="5" t="inlineStr">
        <is>
          <t>Foundation datasets and model ecosystems</t>
        </is>
      </c>
      <c r="H33" s="5" t="inlineStr">
        <is>
          <t>Molecules and noncovalent complexes</t>
        </is>
      </c>
      <c r="I33" s="5" t="inlineStr">
        <is>
          <t>Expanded molecular PES coverage</t>
        </is>
      </c>
      <c r="J33" s="5" t="inlineStr">
        <is>
          <t>Nutmeg / molecular ML potentials</t>
        </is>
      </c>
      <c r="K33" s="5" t="inlineStr">
        <is>
          <t>Energy/force benchmark errors</t>
        </is>
      </c>
      <c r="L33" s="5" t="inlineStr">
        <is>
          <t>Quantum chemistry</t>
        </is>
      </c>
      <c r="M33" s="6" t="inlineStr">
        <is>
          <t>10.1021/acs.jctc.4c00794</t>
        </is>
      </c>
      <c r="N33" s="7" t="inlineStr">
        <is>
          <t>https://doi.org/10.1021/acs.jctc.4c00794</t>
        </is>
      </c>
      <c r="O33" s="7" t="inlineStr">
        <is>
          <t>https://github.com/openmm/spice-dataset</t>
        </is>
      </c>
      <c r="P33" s="7" t="inlineStr">
        <is>
          <t>https://doi.org/10.5281/zenodo.10975225</t>
        </is>
      </c>
      <c r="Q33" s="5" t="inlineStr">
        <is>
          <t>Yes</t>
        </is>
      </c>
      <c r="R33" s="5" t="inlineStr">
        <is>
          <t>Yes</t>
        </is>
      </c>
      <c r="S33" s="8" t="inlineStr">
        <is>
          <t>New literature sweep; web-verified</t>
        </is>
      </c>
      <c r="T33" s="9" t="inlineStr">
        <is>
          <t>A</t>
        </is>
      </c>
      <c r="U33" s="8" t="inlineStr">
        <is>
          <t>2026-09-29</t>
        </is>
      </c>
      <c r="V33" s="5" t="inlineStr">
        <is>
          <t>No</t>
        </is>
      </c>
      <c r="W33" s="5" t="inlineStr">
        <is>
          <t>Medium</t>
        </is>
      </c>
      <c r="X33" s="5" t="inlineStr">
        <is>
          <t>SPICE 2 / Nutmeg expansion increases chemical and conformational diversity.</t>
        </is>
      </c>
    </row>
    <row r="34">
      <c r="A34" s="5" t="inlineStr">
        <is>
          <t>N022</t>
        </is>
      </c>
      <c r="B34" s="5" t="inlineStr"/>
      <c r="C34" s="5" t="inlineStr">
        <is>
          <t>Improving machine-learning models in materials science through large datasets</t>
        </is>
      </c>
      <c r="D34" s="5" t="inlineStr">
        <is>
          <t>2024</t>
        </is>
      </c>
      <c r="E34" s="5" t="inlineStr">
        <is>
          <t>Benchmark-supporting dataset</t>
        </is>
      </c>
      <c r="F34" s="5" t="inlineStr">
        <is>
          <t>Supporting</t>
        </is>
      </c>
      <c r="G34" s="5" t="inlineStr">
        <is>
          <t>Foundation datasets and model ecosystems</t>
        </is>
      </c>
      <c r="H34" s="5" t="inlineStr">
        <is>
          <t>3D, 2D and 1D inorganic materials</t>
        </is>
      </c>
      <c r="I34" s="5" t="inlineStr">
        <is>
          <t>Large-scale DFT training dataset; broad materials evaluation</t>
        </is>
      </c>
      <c r="J34" s="5" t="inlineStr">
        <is>
          <t>Dataset-trained ML models</t>
        </is>
      </c>
      <c r="K34" s="5" t="inlineStr">
        <is>
          <t>Energy/force/property performance</t>
        </is>
      </c>
      <c r="L34" s="5" t="inlineStr">
        <is>
          <t>DFT</t>
        </is>
      </c>
      <c r="M34" s="6" t="inlineStr">
        <is>
          <t>10.1016/j.mtphys.2024.101560</t>
        </is>
      </c>
      <c r="N34" s="7" t="inlineStr">
        <is>
          <t>https://doi.org/10.1016/j.mtphys.2024.101560</t>
        </is>
      </c>
      <c r="O34" s="5" t="inlineStr"/>
      <c r="P34" s="7" t="inlineStr">
        <is>
          <t>https://alexandria.icams.rub.de/</t>
        </is>
      </c>
      <c r="Q34" s="5" t="inlineStr">
        <is>
          <t>Yes</t>
        </is>
      </c>
      <c r="R34" s="5" t="inlineStr">
        <is>
          <t>Yes</t>
        </is>
      </c>
      <c r="S34" s="8" t="inlineStr">
        <is>
          <t>New literature sweep; web-verified</t>
        </is>
      </c>
      <c r="T34" s="9" t="inlineStr">
        <is>
          <t>A</t>
        </is>
      </c>
      <c r="U34" s="8" t="inlineStr">
        <is>
          <t>2026-09-29</t>
        </is>
      </c>
      <c r="V34" s="5" t="inlineStr">
        <is>
          <t>No</t>
        </is>
      </c>
      <c r="W34" s="5" t="inlineStr">
        <is>
          <t>Medium</t>
        </is>
      </c>
      <c r="X34" s="5" t="inlineStr">
        <is>
          <t>Alexandria family provides multi-dimensional large-scale DFT data.</t>
        </is>
      </c>
    </row>
    <row r="35">
      <c r="A35" s="5" t="inlineStr">
        <is>
          <t>N035</t>
        </is>
      </c>
      <c r="B35" s="5" t="inlineStr"/>
      <c r="C35" s="5" t="inlineStr">
        <is>
          <t>MatterSim: A Deep Learning Atomistic Model Across Elements, Temperatures and Pressures</t>
        </is>
      </c>
      <c r="D35" s="5" t="inlineStr">
        <is>
          <t>2024</t>
        </is>
      </c>
      <c r="E35" s="5" t="inlineStr">
        <is>
          <t>Foundation-model validation study</t>
        </is>
      </c>
      <c r="F35" s="5" t="inlineStr">
        <is>
          <t>Supporting</t>
        </is>
      </c>
      <c r="G35" s="5" t="inlineStr">
        <is>
          <t>General and foundation MLIP evaluation</t>
        </is>
      </c>
      <c r="H35" s="5" t="inlineStr">
        <is>
          <t>Broad inorganic materials; 0-5000 K; up to 1000 GPa</t>
        </is>
      </c>
      <c r="I35" s="5" t="inlineStr">
        <is>
          <t>Structures; dynamics; phonons; mechanics; thermodynamics; phase behavior</t>
        </is>
      </c>
      <c r="J35" s="5" t="inlineStr">
        <is>
          <t>MatterSim</t>
        </is>
      </c>
      <c r="K35" s="5" t="inlineStr">
        <is>
          <t>Energy/force/property errors; Gibbs free energy; phase behavior</t>
        </is>
      </c>
      <c r="L35" s="5" t="inlineStr">
        <is>
          <t>DFT / experiment</t>
        </is>
      </c>
      <c r="M35" s="6" t="inlineStr">
        <is>
          <t>10.48550/arXiv.2405.04967</t>
        </is>
      </c>
      <c r="N35" s="7" t="inlineStr">
        <is>
          <t>https://arxiv.org/abs/2405.04967</t>
        </is>
      </c>
      <c r="O35" s="7" t="inlineStr">
        <is>
          <t>https://github.com/microsoft/mattersim</t>
        </is>
      </c>
      <c r="P35" s="5" t="inlineStr"/>
      <c r="Q35" s="5" t="inlineStr">
        <is>
          <t>No</t>
        </is>
      </c>
      <c r="R35" s="5" t="inlineStr">
        <is>
          <t>Yes</t>
        </is>
      </c>
      <c r="S35" s="8" t="inlineStr">
        <is>
          <t>New literature sweep; web-verified</t>
        </is>
      </c>
      <c r="T35" s="9" t="inlineStr">
        <is>
          <t>A</t>
        </is>
      </c>
      <c r="U35" s="8" t="inlineStr">
        <is>
          <t>2026-09-29</t>
        </is>
      </c>
      <c r="V35" s="5" t="inlineStr">
        <is>
          <t>No</t>
        </is>
      </c>
      <c r="W35" s="5" t="inlineStr">
        <is>
          <t>Medium</t>
        </is>
      </c>
      <c r="X35" s="5" t="inlineStr">
        <is>
          <t>Broad temperature/pressure validation makes it useful as a reference stress-test paper.</t>
        </is>
      </c>
    </row>
    <row r="36">
      <c r="A36" s="5" t="inlineStr">
        <is>
          <t>N011</t>
        </is>
      </c>
      <c r="B36" s="5" t="inlineStr"/>
      <c r="C36" s="5" t="inlineStr">
        <is>
          <t>Learning from models: high-dimensional analyses of machine-learned interatomic potentials</t>
        </is>
      </c>
      <c r="D36" s="5" t="inlineStr">
        <is>
          <t>2024</t>
        </is>
      </c>
      <c r="E36" s="5" t="inlineStr">
        <is>
          <t>Methodology / benchmark study</t>
        </is>
      </c>
      <c r="F36" s="5" t="inlineStr">
        <is>
          <t>Supporting</t>
        </is>
      </c>
      <c r="G36" s="5" t="inlineStr">
        <is>
          <t>Methodology, reliability and efficiency</t>
        </is>
      </c>
      <c r="H36" s="5" t="inlineStr">
        <is>
          <t>Multiple material systems</t>
        </is>
      </c>
      <c r="I36" s="5" t="inlineStr">
        <is>
          <t>High-dimensional property validation; Pareto analysis</t>
        </is>
      </c>
      <c r="J36" s="5" t="inlineStr">
        <is>
          <t>Multiple MLIPs</t>
        </is>
      </c>
      <c r="K36" s="5" t="inlineStr">
        <is>
          <t>Property errors; accuracy-efficiency Pareto behavior</t>
        </is>
      </c>
      <c r="L36" s="5" t="inlineStr">
        <is>
          <t>DFT / reference properties</t>
        </is>
      </c>
      <c r="M36" s="6" t="inlineStr">
        <is>
          <t>10.1038/s41524-024-01333-3</t>
        </is>
      </c>
      <c r="N36" s="7" t="inlineStr">
        <is>
          <t>https://doi.org/10.1038/s41524-024-01333-3</t>
        </is>
      </c>
      <c r="O36" s="7" t="inlineStr">
        <is>
          <t>https://github.com/mogroupumd/Learning_from_models</t>
        </is>
      </c>
      <c r="P36" s="5" t="inlineStr"/>
      <c r="Q36" s="5" t="inlineStr">
        <is>
          <t>Yes</t>
        </is>
      </c>
      <c r="R36" s="5" t="inlineStr">
        <is>
          <t>Yes</t>
        </is>
      </c>
      <c r="S36" s="8" t="inlineStr">
        <is>
          <t>New literature sweep; web-verified</t>
        </is>
      </c>
      <c r="T36" s="9" t="inlineStr">
        <is>
          <t>A</t>
        </is>
      </c>
      <c r="U36" s="8" t="inlineStr">
        <is>
          <t>2026-09-29</t>
        </is>
      </c>
      <c r="V36" s="5" t="inlineStr">
        <is>
          <t>No</t>
        </is>
      </c>
      <c r="W36" s="5" t="inlineStr">
        <is>
          <t>Medium</t>
        </is>
      </c>
      <c r="X36" s="5" t="inlineStr">
        <is>
          <t>Useful property-centric benchmark methodology beyond E/F errors.</t>
        </is>
      </c>
    </row>
    <row r="37">
      <c r="A37" s="5" t="inlineStr">
        <is>
          <t>N016</t>
        </is>
      </c>
      <c r="B37" s="5" t="inlineStr"/>
      <c r="C37" s="5" t="inlineStr">
        <is>
          <t>Validation workflow for machine learning interatomic potentials for complex ceramics</t>
        </is>
      </c>
      <c r="D37" s="5" t="inlineStr">
        <is>
          <t>2024</t>
        </is>
      </c>
      <c r="E37" s="5" t="inlineStr">
        <is>
          <t>Methodology / benchmark study</t>
        </is>
      </c>
      <c r="F37" s="5" t="inlineStr">
        <is>
          <t>Supporting</t>
        </is>
      </c>
      <c r="G37" s="5" t="inlineStr">
        <is>
          <t>Methodology, reliability and efficiency</t>
        </is>
      </c>
      <c r="H37" s="5" t="inlineStr">
        <is>
          <t>Boron carbide / complex ceramics</t>
        </is>
      </c>
      <c r="I37" s="5" t="inlineStr">
        <is>
          <t>Preliminary; static-property; dynamic-property validation</t>
        </is>
      </c>
      <c r="J37" s="5" t="inlineStr">
        <is>
          <t>System-specific MLIP</t>
        </is>
      </c>
      <c r="K37" s="5" t="inlineStr">
        <is>
          <t>Accuracy; computational efficiency; static/dynamic property errors</t>
        </is>
      </c>
      <c r="L37" s="5" t="inlineStr">
        <is>
          <t>DFT / empirical potential</t>
        </is>
      </c>
      <c r="M37" s="6" t="inlineStr">
        <is>
          <t>10.1016/j.commatsci.2024.112983</t>
        </is>
      </c>
      <c r="N37" s="7" t="inlineStr">
        <is>
          <t>https://doi.org/10.1016/j.commatsci.2024.112983</t>
        </is>
      </c>
      <c r="O37" s="5" t="inlineStr"/>
      <c r="P37" s="5" t="inlineStr"/>
      <c r="Q37" s="5" t="inlineStr">
        <is>
          <t>Yes</t>
        </is>
      </c>
      <c r="R37" s="5" t="inlineStr">
        <is>
          <t>Unknown</t>
        </is>
      </c>
      <c r="S37" s="8" t="inlineStr">
        <is>
          <t>New literature sweep; web-verified</t>
        </is>
      </c>
      <c r="T37" s="9" t="inlineStr">
        <is>
          <t>A</t>
        </is>
      </c>
      <c r="U37" s="8" t="inlineStr">
        <is>
          <t>2026-09-29</t>
        </is>
      </c>
      <c r="V37" s="5" t="inlineStr">
        <is>
          <t>No</t>
        </is>
      </c>
      <c r="W37" s="5" t="inlineStr">
        <is>
          <t>Medium</t>
        </is>
      </c>
      <c r="X37" s="5" t="inlineStr">
        <is>
          <t>Reusable three-stage validation workflow demonstrated on B4C.</t>
        </is>
      </c>
    </row>
    <row r="38">
      <c r="A38" s="5" t="inlineStr">
        <is>
          <t>N033</t>
        </is>
      </c>
      <c r="B38" s="5" t="inlineStr"/>
      <c r="C38" s="5" t="inlineStr">
        <is>
          <t>CHGNet as a pretrained universal neural network potential for charge-informed atomistic modelling</t>
        </is>
      </c>
      <c r="D38" s="5" t="inlineStr">
        <is>
          <t>2023</t>
        </is>
      </c>
      <c r="E38" s="5" t="inlineStr">
        <is>
          <t>Benchmark-supporting model/dataset</t>
        </is>
      </c>
      <c r="F38" s="5" t="inlineStr">
        <is>
          <t>Supporting</t>
        </is>
      </c>
      <c r="G38" s="5" t="inlineStr">
        <is>
          <t>Foundation datasets and model ecosystems</t>
        </is>
      </c>
      <c r="H38" s="5" t="inlineStr">
        <is>
          <t>Materials Project crystals / MPtrj</t>
        </is>
      </c>
      <c r="I38" s="5" t="inlineStr">
        <is>
          <t>Universal potential training and broad materials-property validation</t>
        </is>
      </c>
      <c r="J38" s="5" t="inlineStr">
        <is>
          <t>CHGNet</t>
        </is>
      </c>
      <c r="K38" s="5" t="inlineStr">
        <is>
          <t>Energy/force/stress; structure; MD/property tests</t>
        </is>
      </c>
      <c r="L38" s="5" t="inlineStr">
        <is>
          <t>Materials Project DFT</t>
        </is>
      </c>
      <c r="M38" s="6" t="inlineStr">
        <is>
          <t>10.1038/s42256-023-00716-3</t>
        </is>
      </c>
      <c r="N38" s="7" t="inlineStr">
        <is>
          <t>https://doi.org/10.1038/s42256-023-00716-3</t>
        </is>
      </c>
      <c r="O38" s="5" t="inlineStr"/>
      <c r="P38" s="5" t="inlineStr"/>
      <c r="Q38" s="5" t="inlineStr">
        <is>
          <t>Yes</t>
        </is>
      </c>
      <c r="R38" s="5" t="inlineStr">
        <is>
          <t>Unknown</t>
        </is>
      </c>
      <c r="S38" s="8" t="inlineStr">
        <is>
          <t>New literature sweep; web-verified</t>
        </is>
      </c>
      <c r="T38" s="9" t="inlineStr">
        <is>
          <t>A</t>
        </is>
      </c>
      <c r="U38" s="8" t="inlineStr">
        <is>
          <t>2026-09-29</t>
        </is>
      </c>
      <c r="V38" s="5" t="inlineStr">
        <is>
          <t>No</t>
        </is>
      </c>
      <c r="W38" s="5" t="inlineStr">
        <is>
          <t>Medium</t>
        </is>
      </c>
      <c r="X38" s="5" t="inlineStr">
        <is>
          <t>MPtrj trajectory data became a major training/evaluation source for later foundation potentials.</t>
        </is>
      </c>
    </row>
    <row r="39">
      <c r="A39" s="5" t="inlineStr">
        <is>
          <t>N020</t>
        </is>
      </c>
      <c r="B39" s="5" t="inlineStr"/>
      <c r="C39" s="5" t="inlineStr">
        <is>
          <t>Open Catalyst 2022 (OC22) Dataset and Challenges for Oxide Electrocatalysts</t>
        </is>
      </c>
      <c r="D39" s="5" t="inlineStr">
        <is>
          <t>2023</t>
        </is>
      </c>
      <c r="E39" s="5" t="inlineStr">
        <is>
          <t>Benchmark-supporting dataset</t>
        </is>
      </c>
      <c r="F39" s="5" t="inlineStr">
        <is>
          <t>Supporting</t>
        </is>
      </c>
      <c r="G39" s="5" t="inlineStr">
        <is>
          <t>Foundation datasets and model ecosystems</t>
        </is>
      </c>
      <c r="H39" s="5" t="inlineStr">
        <is>
          <t>Oxide surfaces and adsorbates</t>
        </is>
      </c>
      <c r="I39" s="5" t="inlineStr">
        <is>
          <t>Structure-to-energy/forces; relaxation for oxide electrocatalysis</t>
        </is>
      </c>
      <c r="J39" s="5" t="inlineStr">
        <is>
          <t>OC22 baselines</t>
        </is>
      </c>
      <c r="K39" s="5" t="inlineStr">
        <is>
          <t>Energy/force errors; relaxation metrics</t>
        </is>
      </c>
      <c r="L39" s="5" t="inlineStr">
        <is>
          <t>DFT</t>
        </is>
      </c>
      <c r="M39" s="6" t="inlineStr">
        <is>
          <t>10.1021/acscatal.2c05426</t>
        </is>
      </c>
      <c r="N39" s="7" t="inlineStr">
        <is>
          <t>https://doi.org/10.1021/acscatal.2c05426</t>
        </is>
      </c>
      <c r="O39" s="7" t="inlineStr">
        <is>
          <t>https://github.com/FAIR-Chem/fairchem</t>
        </is>
      </c>
      <c r="P39" s="5" t="inlineStr"/>
      <c r="Q39" s="5" t="inlineStr">
        <is>
          <t>Yes</t>
        </is>
      </c>
      <c r="R39" s="5" t="inlineStr">
        <is>
          <t>Yes</t>
        </is>
      </c>
      <c r="S39" s="8" t="inlineStr">
        <is>
          <t>New literature sweep; web-verified</t>
        </is>
      </c>
      <c r="T39" s="9" t="inlineStr">
        <is>
          <t>A</t>
        </is>
      </c>
      <c r="U39" s="8" t="inlineStr">
        <is>
          <t>2026-09-29</t>
        </is>
      </c>
      <c r="V39" s="5" t="inlineStr">
        <is>
          <t>No</t>
        </is>
      </c>
      <c r="W39" s="5" t="inlineStr">
        <is>
          <t>Medium</t>
        </is>
      </c>
      <c r="X39" s="5" t="inlineStr">
        <is>
          <t>Large oxide electrocatalysis dataset and challenge.</t>
        </is>
      </c>
    </row>
    <row r="40">
      <c r="A40" s="5" t="inlineStr">
        <is>
          <t>N024</t>
        </is>
      </c>
      <c r="B40" s="5" t="inlineStr"/>
      <c r="C40" s="5" t="inlineStr">
        <is>
          <t>SPICE, A Dataset of Drug-like Molecules and Peptides for Training Machine Learning Potentials</t>
        </is>
      </c>
      <c r="D40" s="5" t="inlineStr">
        <is>
          <t>2023</t>
        </is>
      </c>
      <c r="E40" s="5" t="inlineStr">
        <is>
          <t>Benchmark-supporting dataset</t>
        </is>
      </c>
      <c r="F40" s="5" t="inlineStr">
        <is>
          <t>Supporting</t>
        </is>
      </c>
      <c r="G40" s="5" t="inlineStr">
        <is>
          <t>Foundation datasets and model ecosystems</t>
        </is>
      </c>
      <c r="H40" s="5" t="inlineStr">
        <is>
          <t>Drug-like molecules, peptides, dimers</t>
        </is>
      </c>
      <c r="I40" s="5" t="inlineStr">
        <is>
          <t>Molecular energy/force training and benchmark data</t>
        </is>
      </c>
      <c r="J40" s="5" t="inlineStr">
        <is>
          <t>Molecular ML potentials</t>
        </is>
      </c>
      <c r="K40" s="5" t="inlineStr">
        <is>
          <t>Energy/force errors across chemical space</t>
        </is>
      </c>
      <c r="L40" s="5" t="inlineStr">
        <is>
          <t>Quantum chemistry</t>
        </is>
      </c>
      <c r="M40" s="6" t="inlineStr">
        <is>
          <t>10.1038/s41597-022-01882-6</t>
        </is>
      </c>
      <c r="N40" s="7" t="inlineStr">
        <is>
          <t>https://doi.org/10.1038/s41597-022-01882-6</t>
        </is>
      </c>
      <c r="O40" s="7" t="inlineStr">
        <is>
          <t>https://github.com/openmm/spice-dataset</t>
        </is>
      </c>
      <c r="P40" s="5" t="inlineStr"/>
      <c r="Q40" s="5" t="inlineStr">
        <is>
          <t>Yes</t>
        </is>
      </c>
      <c r="R40" s="5" t="inlineStr">
        <is>
          <t>Yes</t>
        </is>
      </c>
      <c r="S40" s="8" t="inlineStr">
        <is>
          <t>New literature sweep; web-verified</t>
        </is>
      </c>
      <c r="T40" s="9" t="inlineStr">
        <is>
          <t>A</t>
        </is>
      </c>
      <c r="U40" s="8" t="inlineStr">
        <is>
          <t>2026-09-29</t>
        </is>
      </c>
      <c r="V40" s="5" t="inlineStr">
        <is>
          <t>No</t>
        </is>
      </c>
      <c r="W40" s="5" t="inlineStr">
        <is>
          <t>Medium</t>
        </is>
      </c>
      <c r="X40" s="5" t="inlineStr">
        <is>
          <t>More than 1.1 million conformations; broad molecular chemistry coverage.</t>
        </is>
      </c>
    </row>
    <row r="41">
      <c r="A41" s="5" t="inlineStr">
        <is>
          <t>N042</t>
        </is>
      </c>
      <c r="B41" s="5" t="inlineStr"/>
      <c r="C41" s="5" t="inlineStr">
        <is>
          <t>How to validate machine-learned interatomic potentials</t>
        </is>
      </c>
      <c r="D41" s="5" t="inlineStr">
        <is>
          <t>2023</t>
        </is>
      </c>
      <c r="E41" s="5" t="inlineStr">
        <is>
          <t>Methodology / benchmark study</t>
        </is>
      </c>
      <c r="F41" s="5" t="inlineStr">
        <is>
          <t>Supporting</t>
        </is>
      </c>
      <c r="G41" s="5" t="inlineStr">
        <is>
          <t>Methodology, reliability and efficiency</t>
        </is>
      </c>
      <c r="H41" s="5" t="inlineStr">
        <is>
          <t>Atomistic materials modeling</t>
        </is>
      </c>
      <c r="I41" s="5" t="inlineStr">
        <is>
          <t>Numerical error metrics; physically guided validation; off-the-shelf model validation</t>
        </is>
      </c>
      <c r="J41" s="5" t="inlineStr">
        <is>
          <t>General MLIP methodology</t>
        </is>
      </c>
      <c r="K41" s="5" t="inlineStr">
        <is>
          <t>Numerical test errors plus physically motivated property validation</t>
        </is>
      </c>
      <c r="L41" s="5" t="inlineStr">
        <is>
          <t>Electronic-structure and physical-property references</t>
        </is>
      </c>
      <c r="M41" s="6" t="inlineStr">
        <is>
          <t>10.1063/5.0139611</t>
        </is>
      </c>
      <c r="N41" s="7" t="inlineStr">
        <is>
          <t>https://doi.org/10.1063/5.0139611</t>
        </is>
      </c>
      <c r="O41" s="5" t="inlineStr"/>
      <c r="P41" s="5" t="inlineStr"/>
      <c r="Q41" s="5" t="inlineStr">
        <is>
          <t>Yes</t>
        </is>
      </c>
      <c r="R41" s="5" t="inlineStr">
        <is>
          <t>Unknown</t>
        </is>
      </c>
      <c r="S41" s="8" t="inlineStr">
        <is>
          <t>New literature sweep; web-verified</t>
        </is>
      </c>
      <c r="T41" s="9" t="inlineStr">
        <is>
          <t>A</t>
        </is>
      </c>
      <c r="U41" s="8" t="inlineStr">
        <is>
          <t>2026-09-29</t>
        </is>
      </c>
      <c r="V41" s="5" t="inlineStr">
        <is>
          <t>No</t>
        </is>
      </c>
      <c r="W41" s="5" t="inlineStr">
        <is>
          <t>Medium</t>
        </is>
      </c>
      <c r="X41" s="5" t="inlineStr">
        <is>
          <t>Foundational best-practice paper for physically meaningful MLIP validation.</t>
        </is>
      </c>
    </row>
    <row r="42">
      <c r="A42" s="5" t="inlineStr">
        <is>
          <t>N021</t>
        </is>
      </c>
      <c r="B42" s="5" t="inlineStr"/>
      <c r="C42" s="5" t="inlineStr">
        <is>
          <t>Open Catalyst 2020 (OC20) Dataset and Community Challenges</t>
        </is>
      </c>
      <c r="D42" s="5" t="inlineStr">
        <is>
          <t>2021</t>
        </is>
      </c>
      <c r="E42" s="5" t="inlineStr">
        <is>
          <t>Benchmark-supporting dataset</t>
        </is>
      </c>
      <c r="F42" s="5" t="inlineStr">
        <is>
          <t>Supporting</t>
        </is>
      </c>
      <c r="G42" s="5" t="inlineStr">
        <is>
          <t>Foundation datasets and model ecosystems</t>
        </is>
      </c>
      <c r="H42" s="5" t="inlineStr">
        <is>
          <t>Adsorbates on catalyst surfaces</t>
        </is>
      </c>
      <c r="I42" s="5" t="inlineStr">
        <is>
          <t>S2EF; IS2RS; IS2RE catalyst tasks</t>
        </is>
      </c>
      <c r="J42" s="5" t="inlineStr">
        <is>
          <t>OC20 baselines</t>
        </is>
      </c>
      <c r="K42" s="5" t="inlineStr">
        <is>
          <t>Energy/force errors; relaxation and adsorption-energy metrics</t>
        </is>
      </c>
      <c r="L42" s="5" t="inlineStr">
        <is>
          <t>DFT</t>
        </is>
      </c>
      <c r="M42" s="6" t="inlineStr">
        <is>
          <t>10.1021/acscatal.0c04525</t>
        </is>
      </c>
      <c r="N42" s="7" t="inlineStr">
        <is>
          <t>https://doi.org/10.1021/acscatal.0c04525</t>
        </is>
      </c>
      <c r="O42" s="7" t="inlineStr">
        <is>
          <t>https://github.com/FAIR-Chem/fairchem</t>
        </is>
      </c>
      <c r="P42" s="5" t="inlineStr"/>
      <c r="Q42" s="5" t="inlineStr">
        <is>
          <t>Yes</t>
        </is>
      </c>
      <c r="R42" s="5" t="inlineStr">
        <is>
          <t>Yes</t>
        </is>
      </c>
      <c r="S42" s="8" t="inlineStr">
        <is>
          <t>New literature sweep; web-verified</t>
        </is>
      </c>
      <c r="T42" s="9" t="inlineStr">
        <is>
          <t>A</t>
        </is>
      </c>
      <c r="U42" s="8" t="inlineStr">
        <is>
          <t>2026-09-29</t>
        </is>
      </c>
      <c r="V42" s="5" t="inlineStr">
        <is>
          <t>No</t>
        </is>
      </c>
      <c r="W42" s="5" t="inlineStr">
        <is>
          <t>Medium</t>
        </is>
      </c>
      <c r="X42" s="5" t="inlineStr">
        <is>
          <t>Foundational large-scale catalysis dataset and benchmark challenge.</t>
        </is>
      </c>
    </row>
    <row r="43">
      <c r="A43" s="5" t="inlineStr">
        <is>
          <t>N028</t>
        </is>
      </c>
      <c r="B43" s="5" t="inlineStr"/>
      <c r="C43" s="5" t="inlineStr">
        <is>
          <t>ANI-1x and ANI-1ccx quantum chemistry datasets</t>
        </is>
      </c>
      <c r="D43" s="5" t="inlineStr">
        <is>
          <t>2020</t>
        </is>
      </c>
      <c r="E43" s="5" t="inlineStr">
        <is>
          <t>Benchmark-supporting dataset</t>
        </is>
      </c>
      <c r="F43" s="5" t="inlineStr">
        <is>
          <t>Supporting</t>
        </is>
      </c>
      <c r="G43" s="5" t="inlineStr">
        <is>
          <t>Foundation datasets and model ecosystems</t>
        </is>
      </c>
      <c r="H43" s="5" t="inlineStr">
        <is>
          <t>Organic molecules</t>
        </is>
      </c>
      <c r="I43" s="5" t="inlineStr">
        <is>
          <t>Large molecular PES training and transfer evaluation</t>
        </is>
      </c>
      <c r="J43" s="5" t="inlineStr">
        <is>
          <t>ANI models and molecular ML potentials</t>
        </is>
      </c>
      <c r="K43" s="5" t="inlineStr">
        <is>
          <t>Energy/force errors; high-level transfer</t>
        </is>
      </c>
      <c r="L43" s="5" t="inlineStr">
        <is>
          <t>DFT and CCSD(T)/CBS</t>
        </is>
      </c>
      <c r="M43" s="6" t="inlineStr">
        <is>
          <t>10.1038/s41597-020-0473-z</t>
        </is>
      </c>
      <c r="N43" s="7" t="inlineStr">
        <is>
          <t>https://doi.org/10.1038/s41597-020-0473-z</t>
        </is>
      </c>
      <c r="O43" s="5" t="inlineStr"/>
      <c r="P43" s="5" t="inlineStr"/>
      <c r="Q43" s="5" t="inlineStr">
        <is>
          <t>Yes</t>
        </is>
      </c>
      <c r="R43" s="5" t="inlineStr">
        <is>
          <t>Unknown</t>
        </is>
      </c>
      <c r="S43" s="8" t="inlineStr">
        <is>
          <t>New literature sweep; web-verified</t>
        </is>
      </c>
      <c r="T43" s="9" t="inlineStr">
        <is>
          <t>A</t>
        </is>
      </c>
      <c r="U43" s="8" t="inlineStr">
        <is>
          <t>2026-09-29</t>
        </is>
      </c>
      <c r="V43" s="5" t="inlineStr">
        <is>
          <t>No</t>
        </is>
      </c>
      <c r="W43" s="5" t="inlineStr">
        <is>
          <t>Medium</t>
        </is>
      </c>
      <c r="X43" s="5" t="inlineStr">
        <is>
          <t>About 5M DFT structures plus a high-level coupled-cluster subset.</t>
        </is>
      </c>
    </row>
    <row r="44">
      <c r="A44" s="5" t="inlineStr">
        <is>
          <t>N026</t>
        </is>
      </c>
      <c r="B44" s="5" t="inlineStr"/>
      <c r="C44" s="5" t="inlineStr">
        <is>
          <t>Revised MD17 (rMD17) benchmark dataset</t>
        </is>
      </c>
      <c r="D44" s="5" t="inlineStr">
        <is>
          <t>2020</t>
        </is>
      </c>
      <c r="E44" s="5" t="inlineStr">
        <is>
          <t>Benchmark-supporting dataset</t>
        </is>
      </c>
      <c r="F44" s="5" t="inlineStr">
        <is>
          <t>Supporting</t>
        </is>
      </c>
      <c r="G44" s="5" t="inlineStr">
        <is>
          <t>Foundation datasets and model ecosystems</t>
        </is>
      </c>
      <c r="H44" s="5" t="inlineStr">
        <is>
          <t>Small organic molecules</t>
        </is>
      </c>
      <c r="I44" s="5" t="inlineStr">
        <is>
          <t>Molecular force-field interpolation and dynamics</t>
        </is>
      </c>
      <c r="J44" s="5" t="inlineStr">
        <is>
          <t>Many molecular MLFFs</t>
        </is>
      </c>
      <c r="K44" s="5" t="inlineStr">
        <is>
          <t>Energy and force MAE/RMSE</t>
        </is>
      </c>
      <c r="L44" s="5" t="inlineStr">
        <is>
          <t>High-accuracy DFT</t>
        </is>
      </c>
      <c r="M44" s="5" t="inlineStr"/>
      <c r="N44" s="7" t="inlineStr">
        <is>
          <t>https://doi.org/10.6084/m9.figshare.12672038</t>
        </is>
      </c>
      <c r="O44" s="5" t="inlineStr"/>
      <c r="P44" s="7" t="inlineStr">
        <is>
          <t>https://doi.org/10.6084/m9.figshare.12672038</t>
        </is>
      </c>
      <c r="Q44" s="5" t="inlineStr">
        <is>
          <t>No</t>
        </is>
      </c>
      <c r="R44" s="5" t="inlineStr">
        <is>
          <t>Yes</t>
        </is>
      </c>
      <c r="S44" s="8" t="inlineStr">
        <is>
          <t>New literature sweep; web-verified</t>
        </is>
      </c>
      <c r="T44" s="9" t="inlineStr">
        <is>
          <t>A</t>
        </is>
      </c>
      <c r="U44" s="8" t="inlineStr">
        <is>
          <t>2026-09-29</t>
        </is>
      </c>
      <c r="V44" s="5" t="inlineStr">
        <is>
          <t>No</t>
        </is>
      </c>
      <c r="W44" s="5" t="inlineStr">
        <is>
          <t>Medium</t>
        </is>
      </c>
      <c r="X44" s="5" t="inlineStr">
        <is>
          <t>Recomputed MD17 with tighter electronic-structure settings; ubiquitous molecular MLFF benchmark.</t>
        </is>
      </c>
    </row>
  </sheetData>
  <autoFilter ref="A1:X4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O4" r:id="rId4"/>
    <hyperlink xmlns:r="http://schemas.openxmlformats.org/officeDocument/2006/relationships" ref="P4" r:id="rId5"/>
    <hyperlink xmlns:r="http://schemas.openxmlformats.org/officeDocument/2006/relationships" ref="N5" r:id="rId6"/>
    <hyperlink xmlns:r="http://schemas.openxmlformats.org/officeDocument/2006/relationships" ref="N6" r:id="rId7"/>
    <hyperlink xmlns:r="http://schemas.openxmlformats.org/officeDocument/2006/relationships" ref="N7" r:id="rId8"/>
    <hyperlink xmlns:r="http://schemas.openxmlformats.org/officeDocument/2006/relationships" ref="N8" r:id="rId9"/>
    <hyperlink xmlns:r="http://schemas.openxmlformats.org/officeDocument/2006/relationships" ref="P8" r:id="rId10"/>
    <hyperlink xmlns:r="http://schemas.openxmlformats.org/officeDocument/2006/relationships" ref="N9" r:id="rId11"/>
    <hyperlink xmlns:r="http://schemas.openxmlformats.org/officeDocument/2006/relationships" ref="N10" r:id="rId12"/>
    <hyperlink xmlns:r="http://schemas.openxmlformats.org/officeDocument/2006/relationships" ref="O10" r:id="rId13"/>
    <hyperlink xmlns:r="http://schemas.openxmlformats.org/officeDocument/2006/relationships" ref="P10" r:id="rId14"/>
    <hyperlink xmlns:r="http://schemas.openxmlformats.org/officeDocument/2006/relationships" ref="N11" r:id="rId15"/>
    <hyperlink xmlns:r="http://schemas.openxmlformats.org/officeDocument/2006/relationships" ref="N12" r:id="rId16"/>
    <hyperlink xmlns:r="http://schemas.openxmlformats.org/officeDocument/2006/relationships" ref="N13" r:id="rId17"/>
    <hyperlink xmlns:r="http://schemas.openxmlformats.org/officeDocument/2006/relationships" ref="N14" r:id="rId18"/>
    <hyperlink xmlns:r="http://schemas.openxmlformats.org/officeDocument/2006/relationships" ref="N15" r:id="rId19"/>
    <hyperlink xmlns:r="http://schemas.openxmlformats.org/officeDocument/2006/relationships" ref="P15" r:id="rId20"/>
    <hyperlink xmlns:r="http://schemas.openxmlformats.org/officeDocument/2006/relationships" ref="N16" r:id="rId21"/>
    <hyperlink xmlns:r="http://schemas.openxmlformats.org/officeDocument/2006/relationships" ref="N17" r:id="rId22"/>
    <hyperlink xmlns:r="http://schemas.openxmlformats.org/officeDocument/2006/relationships" ref="N18" r:id="rId23"/>
    <hyperlink xmlns:r="http://schemas.openxmlformats.org/officeDocument/2006/relationships" ref="N19" r:id="rId24"/>
    <hyperlink xmlns:r="http://schemas.openxmlformats.org/officeDocument/2006/relationships" ref="O19" r:id="rId25"/>
    <hyperlink xmlns:r="http://schemas.openxmlformats.org/officeDocument/2006/relationships" ref="N20" r:id="rId26"/>
    <hyperlink xmlns:r="http://schemas.openxmlformats.org/officeDocument/2006/relationships" ref="N21" r:id="rId27"/>
    <hyperlink xmlns:r="http://schemas.openxmlformats.org/officeDocument/2006/relationships" ref="N22" r:id="rId28"/>
    <hyperlink xmlns:r="http://schemas.openxmlformats.org/officeDocument/2006/relationships" ref="N23" r:id="rId29"/>
    <hyperlink xmlns:r="http://schemas.openxmlformats.org/officeDocument/2006/relationships" ref="O23" r:id="rId30"/>
    <hyperlink xmlns:r="http://schemas.openxmlformats.org/officeDocument/2006/relationships" ref="N24" r:id="rId31"/>
    <hyperlink xmlns:r="http://schemas.openxmlformats.org/officeDocument/2006/relationships" ref="O24" r:id="rId32"/>
    <hyperlink xmlns:r="http://schemas.openxmlformats.org/officeDocument/2006/relationships" ref="P24" r:id="rId33"/>
    <hyperlink xmlns:r="http://schemas.openxmlformats.org/officeDocument/2006/relationships" ref="N25" r:id="rId34"/>
    <hyperlink xmlns:r="http://schemas.openxmlformats.org/officeDocument/2006/relationships" ref="N26" r:id="rId35"/>
    <hyperlink xmlns:r="http://schemas.openxmlformats.org/officeDocument/2006/relationships" ref="O26" r:id="rId36"/>
    <hyperlink xmlns:r="http://schemas.openxmlformats.org/officeDocument/2006/relationships" ref="P26" r:id="rId37"/>
    <hyperlink xmlns:r="http://schemas.openxmlformats.org/officeDocument/2006/relationships" ref="N27" r:id="rId38"/>
    <hyperlink xmlns:r="http://schemas.openxmlformats.org/officeDocument/2006/relationships" ref="O27" r:id="rId39"/>
    <hyperlink xmlns:r="http://schemas.openxmlformats.org/officeDocument/2006/relationships" ref="N28" r:id="rId40"/>
    <hyperlink xmlns:r="http://schemas.openxmlformats.org/officeDocument/2006/relationships" ref="O28" r:id="rId41"/>
    <hyperlink xmlns:r="http://schemas.openxmlformats.org/officeDocument/2006/relationships" ref="N29" r:id="rId42"/>
    <hyperlink xmlns:r="http://schemas.openxmlformats.org/officeDocument/2006/relationships" ref="O29" r:id="rId43"/>
    <hyperlink xmlns:r="http://schemas.openxmlformats.org/officeDocument/2006/relationships" ref="P29" r:id="rId44"/>
    <hyperlink xmlns:r="http://schemas.openxmlformats.org/officeDocument/2006/relationships" ref="N30" r:id="rId45"/>
    <hyperlink xmlns:r="http://schemas.openxmlformats.org/officeDocument/2006/relationships" ref="O30" r:id="rId46"/>
    <hyperlink xmlns:r="http://schemas.openxmlformats.org/officeDocument/2006/relationships" ref="N31" r:id="rId47"/>
    <hyperlink xmlns:r="http://schemas.openxmlformats.org/officeDocument/2006/relationships" ref="O31" r:id="rId48"/>
    <hyperlink xmlns:r="http://schemas.openxmlformats.org/officeDocument/2006/relationships" ref="N32" r:id="rId49"/>
    <hyperlink xmlns:r="http://schemas.openxmlformats.org/officeDocument/2006/relationships" ref="P32" r:id="rId50"/>
    <hyperlink xmlns:r="http://schemas.openxmlformats.org/officeDocument/2006/relationships" ref="N33" r:id="rId51"/>
    <hyperlink xmlns:r="http://schemas.openxmlformats.org/officeDocument/2006/relationships" ref="O33" r:id="rId52"/>
    <hyperlink xmlns:r="http://schemas.openxmlformats.org/officeDocument/2006/relationships" ref="P33" r:id="rId53"/>
    <hyperlink xmlns:r="http://schemas.openxmlformats.org/officeDocument/2006/relationships" ref="N34" r:id="rId54"/>
    <hyperlink xmlns:r="http://schemas.openxmlformats.org/officeDocument/2006/relationships" ref="P34" r:id="rId55"/>
    <hyperlink xmlns:r="http://schemas.openxmlformats.org/officeDocument/2006/relationships" ref="N35" r:id="rId56"/>
    <hyperlink xmlns:r="http://schemas.openxmlformats.org/officeDocument/2006/relationships" ref="O35" r:id="rId57"/>
    <hyperlink xmlns:r="http://schemas.openxmlformats.org/officeDocument/2006/relationships" ref="N36" r:id="rId58"/>
    <hyperlink xmlns:r="http://schemas.openxmlformats.org/officeDocument/2006/relationships" ref="O36" r:id="rId59"/>
    <hyperlink xmlns:r="http://schemas.openxmlformats.org/officeDocument/2006/relationships" ref="N37" r:id="rId60"/>
    <hyperlink xmlns:r="http://schemas.openxmlformats.org/officeDocument/2006/relationships" ref="N38" r:id="rId61"/>
    <hyperlink xmlns:r="http://schemas.openxmlformats.org/officeDocument/2006/relationships" ref="N39" r:id="rId62"/>
    <hyperlink xmlns:r="http://schemas.openxmlformats.org/officeDocument/2006/relationships" ref="O39" r:id="rId63"/>
    <hyperlink xmlns:r="http://schemas.openxmlformats.org/officeDocument/2006/relationships" ref="N40" r:id="rId64"/>
    <hyperlink xmlns:r="http://schemas.openxmlformats.org/officeDocument/2006/relationships" ref="O40" r:id="rId65"/>
    <hyperlink xmlns:r="http://schemas.openxmlformats.org/officeDocument/2006/relationships" ref="N41" r:id="rId66"/>
    <hyperlink xmlns:r="http://schemas.openxmlformats.org/officeDocument/2006/relationships" ref="N42" r:id="rId67"/>
    <hyperlink xmlns:r="http://schemas.openxmlformats.org/officeDocument/2006/relationships" ref="O42" r:id="rId68"/>
    <hyperlink xmlns:r="http://schemas.openxmlformats.org/officeDocument/2006/relationships" ref="N43" r:id="rId69"/>
    <hyperlink xmlns:r="http://schemas.openxmlformats.org/officeDocument/2006/relationships" ref="N44" r:id="rId70"/>
    <hyperlink xmlns:r="http://schemas.openxmlformats.org/officeDocument/2006/relationships" ref="P44" r:id="rId71"/>
  </hyperlinks>
  <pageMargins left="0.75" right="0.75" top="1" bottom="1" header="0.5" footer="0.5"/>
  <tableParts count="1">
    <tablePart xmlns:r="http://schemas.openxmlformats.org/officeDocument/2006/relationships" r:id="rId7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5" customWidth="1" min="2" max="2"/>
    <col width="15" customWidth="1" min="3" max="3"/>
  </cols>
  <sheetData>
    <row r="1">
      <c r="A1" s="11" t="inlineStr">
        <is>
          <t>Primary_Category</t>
        </is>
      </c>
      <c r="B1" s="11" t="inlineStr">
        <is>
          <t>Definition / evaluation question</t>
        </is>
      </c>
      <c r="C1" s="11" t="inlineStr">
        <is>
          <t>Record_Count</t>
        </is>
      </c>
    </row>
    <row r="2">
      <c r="A2" s="12" t="inlineStr">
        <is>
          <t>General and foundation MLIP evaluation</t>
        </is>
      </c>
      <c r="B2" s="12" t="inlineStr">
        <is>
          <t>How transferable are general-purpose/foundation potentials?</t>
        </is>
      </c>
      <c r="C2" s="12" t="n">
        <v>29</v>
      </c>
    </row>
    <row r="3">
      <c r="A3" s="12" t="inlineStr">
        <is>
          <t>Foundation datasets and model ecosystems</t>
        </is>
      </c>
      <c r="B3" s="12" t="inlineStr">
        <is>
          <t>Which datasets/models underpin current foundation-potential benchmarks?</t>
        </is>
      </c>
      <c r="C3" s="12" t="n">
        <v>15</v>
      </c>
    </row>
    <row r="4">
      <c r="A4" s="12" t="inlineStr">
        <is>
          <t>Methodology, reliability and efficiency</t>
        </is>
      </c>
      <c r="B4" s="12" t="inlineStr">
        <is>
          <t>How should errors, UQ, OOD behavior, speed and cost be measured?</t>
        </is>
      </c>
      <c r="C4" s="12" t="n">
        <v>13</v>
      </c>
    </row>
    <row r="5">
      <c r="A5" s="12" t="inlineStr">
        <is>
          <t>Surfaces, interfaces and catalysis</t>
        </is>
      </c>
      <c r="B5" s="12" t="inlineStr">
        <is>
          <t>Do models transfer to under-coordinated and interfacial environments?</t>
        </is>
      </c>
      <c r="C5" s="12" t="n">
        <v>12</v>
      </c>
    </row>
    <row r="6">
      <c r="A6" s="12" t="inlineStr">
        <is>
          <t>Molecules, reactions and chemical kinetics</t>
        </is>
      </c>
      <c r="B6" s="12" t="inlineStr">
        <is>
          <t>Are molecular PESs, reactions and kinetics quantitatively reliable?</t>
        </is>
      </c>
      <c r="C6" s="12" t="n">
        <v>10</v>
      </c>
    </row>
    <row r="7">
      <c r="A7" s="12" t="inlineStr">
        <is>
          <t>Benchmark suites and platforms</t>
        </is>
      </c>
      <c r="B7" s="12" t="inlineStr">
        <is>
          <t>Can models be compared under a standardized reusable protocol?</t>
        </is>
      </c>
      <c r="C7" s="12" t="n">
        <v>9</v>
      </c>
    </row>
    <row r="8">
      <c r="A8" s="12" t="inlineStr">
        <is>
          <t>Phonons, vibrations and thermal</t>
        </is>
      </c>
      <c r="B8" s="12" t="inlineStr">
        <is>
          <t>Are harmonic/anharmonic vibrations and heat transport correct?</t>
        </is>
      </c>
      <c r="C8" s="12" t="n">
        <v>8</v>
      </c>
    </row>
    <row r="9">
      <c r="A9" s="12" t="inlineStr">
        <is>
          <t>Batteries, diffusion and ion transport</t>
        </is>
      </c>
      <c r="B9" s="12" t="inlineStr">
        <is>
          <t>Are barriers, diffusivities and transport mechanisms correct?</t>
        </is>
      </c>
      <c r="C9" s="12" t="n">
        <v>7</v>
      </c>
    </row>
    <row r="10">
      <c r="A10" s="12" t="inlineStr">
        <is>
          <t>Defects, disorder and dimensionality</t>
        </is>
      </c>
      <c r="B10" s="12" t="inlineStr">
        <is>
          <t>How reliable are models in OOD defects, amorphous or reduced-dimensional systems?</t>
        </is>
      </c>
      <c r="C10" s="12" t="n">
        <v>7</v>
      </c>
    </row>
    <row r="11">
      <c r="A11" s="12" t="inlineStr">
        <is>
          <t>Crystal search, stability and generation</t>
        </is>
      </c>
      <c r="B11" s="12" t="inlineStr">
        <is>
          <t>Do MLIPs preserve energetic ordering during search/discovery?</t>
        </is>
      </c>
      <c r="C11" s="12" t="n">
        <v>5</v>
      </c>
    </row>
    <row r="12">
      <c r="A12" s="12" t="inlineStr">
        <is>
          <t>MOFs, zeolites and molecular crystals</t>
        </is>
      </c>
      <c r="B12" s="12" t="inlineStr">
        <is>
          <t>Can noncovalent/porous crystals be modeled reliably?</t>
        </is>
      </c>
      <c r="C12" s="12" t="n">
        <v>5</v>
      </c>
    </row>
    <row r="13">
      <c r="A13" s="12" t="inlineStr">
        <is>
          <t>Broader atomistic ML benchmarks</t>
        </is>
      </c>
      <c r="B13" s="12" t="inlineStr">
        <is>
          <t>Which adjacent atomistic-ML resources inform MLIP evaluation?</t>
        </is>
      </c>
      <c r="C13" s="12" t="n">
        <v>4</v>
      </c>
    </row>
    <row r="14">
      <c r="A14" s="12" t="inlineStr">
        <is>
          <t>Dynamics and finite temperature</t>
        </is>
      </c>
      <c r="B14" s="12" t="inlineStr">
        <is>
          <t>Do long trajectories remain stable and physically meaningful?</t>
        </is>
      </c>
      <c r="C14" s="12" t="n">
        <v>4</v>
      </c>
    </row>
    <row r="15">
      <c r="A15" s="12" t="inlineStr">
        <is>
          <t>Mechanical and elastic properties</t>
        </is>
      </c>
      <c r="B15" s="12" t="inlineStr">
        <is>
          <t>Do stresses/forces yield correct elastic and mechanical observables?</t>
        </is>
      </c>
      <c r="C15" s="12" t="n">
        <v>2</v>
      </c>
    </row>
    <row r="16">
      <c r="A16" s="12" t="inlineStr">
        <is>
          <t>Downstream electronic properties</t>
        </is>
      </c>
      <c r="B16" s="12" t="inlineStr">
        <is>
          <t>Do structurally good predictions preserve electronic properties?</t>
        </is>
      </c>
      <c r="C16" s="12" t="n">
        <v>1</v>
      </c>
    </row>
    <row r="17">
      <c r="A17" s="12" t="inlineStr">
        <is>
          <t>Experimental observables</t>
        </is>
      </c>
      <c r="B17" s="12" t="inlineStr">
        <is>
          <t>Do predictions reproduce measured observables?</t>
        </is>
      </c>
      <c r="C17" s="12" t="n">
        <v>1</v>
      </c>
    </row>
    <row r="18">
      <c r="A18" s="12" t="inlineStr">
        <is>
          <t>Thermodynamics and phase diagrams</t>
        </is>
      </c>
      <c r="B18" s="12" t="inlineStr">
        <is>
          <t>Do MLIPs recover finite-temperature phase stability/topology?</t>
        </is>
      </c>
      <c r="C18" s="12" t="n">
        <v>1</v>
      </c>
    </row>
    <row r="19">
      <c r="A19" s="12" t="n"/>
      <c r="B19" s="12" t="n"/>
      <c r="C19" s="12" t="n"/>
    </row>
    <row r="20">
      <c r="A20" s="12" t="inlineStr">
        <is>
          <t>Scope_Tier</t>
        </is>
      </c>
      <c r="B20" s="12" t="inlineStr">
        <is>
          <t>Definition</t>
        </is>
      </c>
      <c r="C20" s="12" t="inlineStr"/>
    </row>
    <row r="21">
      <c r="A21" s="12" t="inlineStr">
        <is>
          <t>Core</t>
        </is>
      </c>
      <c r="B21" s="12" t="inlineStr">
        <is>
          <t>Direct benchmark study, reusable suite/platform, or task-aligned benchmark resource</t>
        </is>
      </c>
      <c r="C21" s="12" t="inlineStr"/>
    </row>
    <row r="22">
      <c r="A22" s="12" t="inlineStr">
        <is>
          <t>Supporting</t>
        </is>
      </c>
      <c r="B22" s="12" t="inlineStr">
        <is>
          <t>Enabling dataset, methodology, review, or broad model-validation resource</t>
        </is>
      </c>
      <c r="C22" s="12" t="inlineStr"/>
    </row>
    <row r="23">
      <c r="A23" s="12" t="n"/>
      <c r="B23" s="12" t="n"/>
      <c r="C23" s="12" t="n"/>
    </row>
    <row r="24">
      <c r="A24" s="12" t="inlineStr">
        <is>
          <t>Curation_Confidence</t>
        </is>
      </c>
      <c r="B24" s="12" t="inlineStr">
        <is>
          <t>Definition</t>
        </is>
      </c>
      <c r="C24" s="12" t="inlineStr"/>
    </row>
    <row r="25">
      <c r="A25" s="12" t="inlineStr">
        <is>
          <t>A</t>
        </is>
      </c>
      <c r="B25" s="12" t="inlineStr">
        <is>
          <t>Web-verified in the 2026-09-29 literature sweep; manually classified</t>
        </is>
      </c>
      <c r="C25" s="12" t="inlineStr"/>
    </row>
    <row r="26">
      <c r="A26" s="12" t="inlineStr">
        <is>
          <t>B</t>
        </is>
      </c>
      <c r="B26" s="12" t="inlineStr">
        <is>
          <t>Imported from existing Zotero bibliography and normalized; classification may be title/known-scope based</t>
        </is>
      </c>
      <c r="C26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2026-09-29T08:52:47Z</dcterms:created>
  <dcterms:modified xmlns:dcterms="http://purl.org/dc/terms/" xmlns:xsi="http://www.w3.org/2001/XMLSchema-instance" xsi:type="dcterms:W3CDTF">2026-09-29T08:52:48Z</dcterms:modified>
</cp:coreProperties>
</file>